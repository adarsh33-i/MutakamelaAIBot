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ke or Buy Deci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&quot; units&quot;"/>
    <numFmt numFmtId="165" formatCode="₹#,##0"/>
    <numFmt numFmtId="166" formatCode="₹#,##0&quot; per unit&quot;"/>
    <numFmt numFmtId="167" formatCode="₹#,##0.00"/>
  </numFmts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1"/>
    </font>
    <font>
      <name val="Arial"/>
      <b val="1"/>
      <color rgb="00FFFFFF"/>
      <sz val="11"/>
    </font>
    <font>
      <name val="Arial"/>
      <b val="1"/>
      <color rgb="00006400"/>
      <sz val="14"/>
    </font>
    <font>
      <name val="Arial"/>
      <i val="1"/>
      <sz val="10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00B050"/>
        <bgColor rgb="0000B050"/>
      </patternFill>
    </fill>
    <fill>
      <patternFill patternType="solid">
        <fgColor rgb="00FFFF00"/>
        <bgColor rgb="00FFFF00"/>
      </patternFill>
    </fill>
    <fill>
      <patternFill patternType="solid">
        <fgColor rgb="00FFC7CE"/>
        <bgColor rgb="00FFC7CE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3" fillId="2" borderId="1" pivotButton="0" quotePrefix="0" xfId="0"/>
    <xf numFmtId="0" fontId="0" fillId="0" borderId="1" pivotButton="0" quotePrefix="0" xfId="0"/>
    <xf numFmtId="165" fontId="0" fillId="0" borderId="1" pivotButton="0" quotePrefix="0" xfId="0"/>
    <xf numFmtId="0" fontId="2" fillId="0" borderId="1" pivotButton="0" quotePrefix="0" xfId="0"/>
    <xf numFmtId="165" fontId="2" fillId="0" borderId="1" pivotButton="0" quotePrefix="0" xfId="0"/>
    <xf numFmtId="166" fontId="0" fillId="0" borderId="1" pivotButton="0" quotePrefix="0" xfId="0"/>
    <xf numFmtId="0" fontId="2" fillId="3" borderId="0" pivotButton="0" quotePrefix="0" xfId="0"/>
    <xf numFmtId="0" fontId="3" fillId="4" borderId="1" pivotButton="0" quotePrefix="0" xfId="0"/>
    <xf numFmtId="167" fontId="0" fillId="0" borderId="1" pivotButton="0" quotePrefix="0" xfId="0"/>
    <xf numFmtId="0" fontId="2" fillId="5" borderId="1" pivotButton="0" quotePrefix="0" xfId="0"/>
    <xf numFmtId="167" fontId="2" fillId="5" borderId="1" pivotButton="0" quotePrefix="0" xfId="0"/>
    <xf numFmtId="165" fontId="2" fillId="5" borderId="1" pivotButton="0" quotePrefix="0" xfId="0"/>
    <xf numFmtId="0" fontId="2" fillId="6" borderId="0" pivotButton="0" quotePrefix="0" xfId="0"/>
    <xf numFmtId="0" fontId="3" fillId="7" borderId="1" pivotButton="0" quotePrefix="0" xfId="0"/>
    <xf numFmtId="0" fontId="4" fillId="5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8" customWidth="1" min="3" max="3"/>
  </cols>
  <sheetData>
    <row r="1">
      <c r="A1" s="1" t="inlineStr">
        <is>
          <t>Make or Buy Decision Analysis - ABC Ltd.</t>
        </is>
      </c>
    </row>
    <row r="3">
      <c r="A3" s="2" t="inlineStr">
        <is>
          <t>GIVEN DATA</t>
        </is>
      </c>
    </row>
    <row r="4">
      <c r="A4" t="inlineStr">
        <is>
          <t>Production Quantity</t>
        </is>
      </c>
      <c r="B4" s="3" t="n">
        <v>10000</v>
      </c>
    </row>
    <row r="6">
      <c r="A6" s="4" t="inlineStr">
        <is>
          <t>Particulars</t>
        </is>
      </c>
      <c r="B6" s="4" t="inlineStr">
        <is>
          <t>Cost per Unit (₹)</t>
        </is>
      </c>
    </row>
    <row r="7">
      <c r="A7" s="5" t="inlineStr">
        <is>
          <t>Direct Material</t>
        </is>
      </c>
      <c r="B7" s="6" t="n">
        <v>30</v>
      </c>
    </row>
    <row r="8">
      <c r="A8" s="5" t="inlineStr">
        <is>
          <t>Direct Labour</t>
        </is>
      </c>
      <c r="B8" s="6" t="n">
        <v>20</v>
      </c>
    </row>
    <row r="9">
      <c r="A9" s="5" t="inlineStr">
        <is>
          <t>Variable Overheads</t>
        </is>
      </c>
      <c r="B9" s="6" t="n">
        <v>10</v>
      </c>
    </row>
    <row r="10">
      <c r="A10" s="5" t="inlineStr">
        <is>
          <t>Fixed Overheads</t>
        </is>
      </c>
      <c r="B10" s="6" t="n">
        <v>15</v>
      </c>
    </row>
    <row r="11">
      <c r="A11" s="7" t="inlineStr">
        <is>
          <t>Total Cost</t>
        </is>
      </c>
      <c r="B11" s="8" t="n">
        <v>75</v>
      </c>
    </row>
    <row r="13">
      <c r="A13" s="5" t="inlineStr">
        <is>
          <t>Outside Supplier Price</t>
        </is>
      </c>
      <c r="B13" s="9" t="n">
        <v>72</v>
      </c>
    </row>
    <row r="14">
      <c r="A14" s="5" t="inlineStr">
        <is>
          <t>Avoidable Fixed Overhead (if Buy)</t>
        </is>
      </c>
      <c r="B14" s="6" t="n">
        <v>50000</v>
      </c>
    </row>
    <row r="17">
      <c r="A17" s="2" t="inlineStr">
        <is>
          <t>RELEVANT COST ANALYSIS</t>
        </is>
      </c>
    </row>
    <row r="19">
      <c r="A19" s="10" t="inlineStr">
        <is>
          <t>OPTION 1: MAKE INTERNALLY</t>
        </is>
      </c>
    </row>
    <row r="20">
      <c r="A20" s="11" t="inlineStr">
        <is>
          <t>Cost Element</t>
        </is>
      </c>
      <c r="B20" s="11" t="inlineStr">
        <is>
          <t>Per Unit (₹)</t>
        </is>
      </c>
      <c r="C20" s="11" t="inlineStr">
        <is>
          <t>Total (₹)</t>
        </is>
      </c>
    </row>
    <row r="21">
      <c r="A21" s="5" t="inlineStr">
        <is>
          <t>Direct Material</t>
        </is>
      </c>
      <c r="B21" s="12">
        <f>B7</f>
        <v/>
      </c>
      <c r="C21" s="6">
        <f>B21*$B$4</f>
        <v/>
      </c>
    </row>
    <row r="22">
      <c r="A22" s="5" t="inlineStr">
        <is>
          <t>Direct Labour</t>
        </is>
      </c>
      <c r="B22" s="12">
        <f>B8</f>
        <v/>
      </c>
      <c r="C22" s="6">
        <f>B22*$B$4</f>
        <v/>
      </c>
    </row>
    <row r="23">
      <c r="A23" s="5" t="inlineStr">
        <is>
          <t>Variable Overheads</t>
        </is>
      </c>
      <c r="B23" s="12">
        <f>B9</f>
        <v/>
      </c>
      <c r="C23" s="6">
        <f>B23*$B$4</f>
        <v/>
      </c>
    </row>
    <row r="24">
      <c r="A24" s="5" t="inlineStr">
        <is>
          <t>Avoidable Fixed Overhead</t>
        </is>
      </c>
      <c r="B24" s="12">
        <f>B14/$B$4</f>
        <v/>
      </c>
      <c r="C24" s="6">
        <f>B14</f>
        <v/>
      </c>
    </row>
    <row r="25">
      <c r="A25" s="13" t="inlineStr">
        <is>
          <t>Total Relevant Cost to MAKE</t>
        </is>
      </c>
      <c r="B25" s="14">
        <f>SUM(B21:B24)</f>
        <v/>
      </c>
      <c r="C25" s="15">
        <f>SUM(C21:C24)</f>
        <v/>
      </c>
    </row>
    <row r="28">
      <c r="A28" s="16" t="inlineStr">
        <is>
          <t>OPTION 2: BUY FROM SUPPLIER</t>
        </is>
      </c>
    </row>
    <row r="29">
      <c r="A29" s="17" t="inlineStr">
        <is>
          <t>Cost Element</t>
        </is>
      </c>
      <c r="B29" s="17" t="inlineStr">
        <is>
          <t>Per Unit (₹)</t>
        </is>
      </c>
      <c r="C29" s="17" t="inlineStr">
        <is>
          <t>Total (₹)</t>
        </is>
      </c>
    </row>
    <row r="30">
      <c r="A30" s="5" t="inlineStr">
        <is>
          <t>Purchase Price</t>
        </is>
      </c>
      <c r="B30" s="12">
        <f>B13</f>
        <v/>
      </c>
      <c r="C30" s="6">
        <f>B30*$B$4</f>
        <v/>
      </c>
    </row>
    <row r="31">
      <c r="A31" s="13" t="inlineStr">
        <is>
          <t>Total Relevant Cost to BUY</t>
        </is>
      </c>
      <c r="B31" s="14">
        <f>B30</f>
        <v/>
      </c>
      <c r="C31" s="15">
        <f>C30</f>
        <v/>
      </c>
    </row>
    <row r="34">
      <c r="A34" s="2" t="inlineStr">
        <is>
          <t>DECISION COMPARISON</t>
        </is>
      </c>
    </row>
    <row r="35">
      <c r="A35" s="4" t="inlineStr">
        <is>
          <t>Option</t>
        </is>
      </c>
      <c r="B35" s="4" t="inlineStr">
        <is>
          <t>Total Relevant Cost (₹)</t>
        </is>
      </c>
    </row>
    <row r="36">
      <c r="A36" s="5" t="inlineStr">
        <is>
          <t>MAKE</t>
        </is>
      </c>
      <c r="B36" s="6">
        <f>C25</f>
        <v/>
      </c>
    </row>
    <row r="37">
      <c r="A37" s="5" t="inlineStr">
        <is>
          <t>BUY</t>
        </is>
      </c>
      <c r="B37" s="6">
        <f>C31</f>
        <v/>
      </c>
    </row>
    <row r="38">
      <c r="A38" s="13" t="inlineStr">
        <is>
          <t>Difference (Buy - Make)</t>
        </is>
      </c>
      <c r="B38" s="15">
        <f>B37-B36</f>
        <v/>
      </c>
    </row>
    <row r="40">
      <c r="A40" s="1" t="inlineStr">
        <is>
          <t>DECISION:</t>
        </is>
      </c>
      <c r="B40" s="18">
        <f>IF(B36&lt;B37,"MAKE INTERNALLY","BUY FROM SUPPLIER")</f>
        <v/>
      </c>
    </row>
    <row r="42">
      <c r="A42" s="2" t="inlineStr">
        <is>
          <t>Reason:</t>
        </is>
      </c>
      <c r="B42">
        <f>IF(B36&lt;B37,"Making saves ₹"&amp;TEXT(B38,"#,##0")&amp;" compared to buying","Buying saves ₹"&amp;TEXT(-B38,"#,##0")&amp;" compared to making")</f>
        <v/>
      </c>
    </row>
    <row r="44">
      <c r="A44" s="19" t="inlineStr">
        <is>
          <t>Note: Fixed overhead that continues (₹1,00,000) is NOT relevant as it will be incurred regardless of the decision.</t>
        </is>
      </c>
    </row>
  </sheetData>
  <mergeCells count="2">
    <mergeCell ref="A1:D1"/>
    <mergeCell ref="A44:C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2026-09-27T11:16:15Z</dcterms:created>
  <dcterms:modified xmlns:dcterms="http://purl.org/dc/terms/" xmlns:xsi="http://www.w3.org/2001/XMLSchema-instance" xsi:type="dcterms:W3CDTF">2026-09-27T11:16:15Z</dcterms:modified>
</cp:coreProperties>
</file>