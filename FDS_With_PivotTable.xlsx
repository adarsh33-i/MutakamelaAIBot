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4"/>
    </font>
    <font>
      <name val="Arial"/>
      <b val="1"/>
      <color rgb="00FF0000"/>
      <sz val="11"/>
    </font>
    <font>
      <name val="Arial"/>
      <sz val="10"/>
    </font>
    <font>
      <name val="Arial"/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0" fontId="6" fillId="3" borderId="1" pivotButton="0" quotePrefix="0" xfId="0"/>
    <xf numFmtId="164" fontId="6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Store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Date</t>
        </is>
      </c>
      <c r="E1" s="1" t="inlineStr">
        <is>
          <t>Item</t>
        </is>
      </c>
      <c r="F1" s="1" t="inlineStr">
        <is>
          <t>Salesperson</t>
        </is>
      </c>
      <c r="G1" s="1" t="inlineStr">
        <is>
          <t>List Price</t>
        </is>
      </c>
      <c r="H1" s="1" t="inlineStr">
        <is>
          <t>Actual Price</t>
        </is>
      </c>
      <c r="I1" s="1" t="inlineStr">
        <is>
          <t>Discount %</t>
        </is>
      </c>
    </row>
    <row r="2">
      <c r="A2" t="inlineStr">
        <is>
          <t>Athens</t>
        </is>
      </c>
      <c r="B2" t="inlineStr">
        <is>
          <t>Greece</t>
        </is>
      </c>
      <c r="C2" t="inlineStr">
        <is>
          <t>EMEA</t>
        </is>
      </c>
      <c r="D2" t="inlineStr">
        <is>
          <t>11/7/2017</t>
        </is>
      </c>
      <c r="E2" t="inlineStr">
        <is>
          <t>Oven</t>
        </is>
      </c>
      <c r="F2" t="inlineStr">
        <is>
          <t>David Walker</t>
        </is>
      </c>
      <c r="G2" t="n">
        <v>500</v>
      </c>
      <c r="H2" t="n">
        <v>500</v>
      </c>
      <c r="I2" t="n">
        <v>0</v>
      </c>
    </row>
    <row r="3">
      <c r="A3" t="inlineStr">
        <is>
          <t>Bangalore</t>
        </is>
      </c>
      <c r="B3" t="inlineStr">
        <is>
          <t>India</t>
        </is>
      </c>
      <c r="C3" t="inlineStr">
        <is>
          <t>APAC</t>
        </is>
      </c>
      <c r="D3" t="inlineStr">
        <is>
          <t>11/13/2018</t>
        </is>
      </c>
      <c r="E3" t="inlineStr">
        <is>
          <t>Coffee grinder</t>
        </is>
      </c>
      <c r="F3" t="inlineStr">
        <is>
          <t>Delia Muhammad</t>
        </is>
      </c>
      <c r="G3" t="n">
        <v>70</v>
      </c>
      <c r="H3" t="n">
        <v>67</v>
      </c>
      <c r="I3" t="n">
        <v>0.0429</v>
      </c>
    </row>
    <row r="4">
      <c r="A4" t="inlineStr">
        <is>
          <t>Bangkok</t>
        </is>
      </c>
      <c r="B4" t="inlineStr">
        <is>
          <t>Thailand</t>
        </is>
      </c>
      <c r="C4" t="inlineStr">
        <is>
          <t>APAC</t>
        </is>
      </c>
      <c r="D4" t="inlineStr">
        <is>
          <t>8/21/2014</t>
        </is>
      </c>
      <c r="E4" t="inlineStr">
        <is>
          <t>Air conditioner</t>
        </is>
      </c>
      <c r="F4" t="inlineStr">
        <is>
          <t>John Jenkins</t>
        </is>
      </c>
      <c r="G4" t="n">
        <v>700</v>
      </c>
      <c r="H4" t="n">
        <v>679</v>
      </c>
      <c r="I4" t="n">
        <v>0.03</v>
      </c>
    </row>
    <row r="5">
      <c r="A5" t="inlineStr">
        <is>
          <t>Capetown</t>
        </is>
      </c>
      <c r="B5" t="inlineStr">
        <is>
          <t>South Africa</t>
        </is>
      </c>
      <c r="C5" t="inlineStr">
        <is>
          <t>EMEA</t>
        </is>
      </c>
      <c r="D5" t="inlineStr">
        <is>
          <t>4/17/2015</t>
        </is>
      </c>
      <c r="E5" t="inlineStr">
        <is>
          <t>Iron</t>
        </is>
      </c>
      <c r="F5" t="inlineStr">
        <is>
          <t>Nicholas Holloway</t>
        </is>
      </c>
      <c r="G5" t="n">
        <v>30</v>
      </c>
      <c r="H5" t="n">
        <v>22</v>
      </c>
      <c r="I5" t="n">
        <v>0.2667</v>
      </c>
    </row>
    <row r="6">
      <c r="A6" t="inlineStr">
        <is>
          <t>Delhi</t>
        </is>
      </c>
      <c r="B6" t="inlineStr">
        <is>
          <t>India</t>
        </is>
      </c>
      <c r="C6" t="inlineStr">
        <is>
          <t>APAC</t>
        </is>
      </c>
      <c r="D6" t="inlineStr">
        <is>
          <t>5/30/2014</t>
        </is>
      </c>
      <c r="E6" t="inlineStr">
        <is>
          <t>Oven</t>
        </is>
      </c>
      <c r="F6" t="inlineStr">
        <is>
          <t>Tessa Morrow</t>
        </is>
      </c>
      <c r="G6" t="n">
        <v>500</v>
      </c>
      <c r="H6" t="n">
        <v>490</v>
      </c>
      <c r="I6" t="n">
        <v>0.02</v>
      </c>
    </row>
    <row r="7">
      <c r="A7" t="inlineStr">
        <is>
          <t>Ho Chi Minh City</t>
        </is>
      </c>
      <c r="B7" t="inlineStr">
        <is>
          <t>Vietnam</t>
        </is>
      </c>
      <c r="C7" t="inlineStr">
        <is>
          <t>APAC</t>
        </is>
      </c>
      <c r="D7" t="inlineStr">
        <is>
          <t>5/24/2015</t>
        </is>
      </c>
      <c r="E7" t="inlineStr">
        <is>
          <t>Microwave</t>
        </is>
      </c>
      <c r="F7" t="inlineStr">
        <is>
          <t>Susan Dixon</t>
        </is>
      </c>
      <c r="G7" t="n">
        <v>80</v>
      </c>
      <c r="H7" t="n">
        <v>78</v>
      </c>
      <c r="I7" t="n">
        <v>0.025</v>
      </c>
    </row>
    <row r="8">
      <c r="A8" t="inlineStr">
        <is>
          <t>Istanbul</t>
        </is>
      </c>
      <c r="B8" t="inlineStr">
        <is>
          <t>Turkey</t>
        </is>
      </c>
      <c r="C8" t="inlineStr">
        <is>
          <t>EMEA</t>
        </is>
      </c>
      <c r="D8" t="inlineStr">
        <is>
          <t>8/14/2018</t>
        </is>
      </c>
      <c r="E8" t="inlineStr">
        <is>
          <t>Ceiling fan</t>
        </is>
      </c>
      <c r="F8" t="inlineStr">
        <is>
          <t>Mark Buntain</t>
        </is>
      </c>
      <c r="G8" t="n">
        <v>150</v>
      </c>
      <c r="H8" t="n">
        <v>137</v>
      </c>
      <c r="I8" t="n">
        <v>0.0867</v>
      </c>
    </row>
    <row r="9">
      <c r="A9" t="inlineStr">
        <is>
          <t>Lima</t>
        </is>
      </c>
      <c r="B9" t="inlineStr">
        <is>
          <t>Peru</t>
        </is>
      </c>
      <c r="C9" t="inlineStr">
        <is>
          <t>LATAM</t>
        </is>
      </c>
      <c r="D9" t="inlineStr">
        <is>
          <t>6/6/2016</t>
        </is>
      </c>
      <c r="E9" t="inlineStr">
        <is>
          <t>Dishwasher</t>
        </is>
      </c>
      <c r="F9" t="inlineStr">
        <is>
          <t>Christopher Cresswell</t>
        </is>
      </c>
      <c r="G9" t="n">
        <v>500</v>
      </c>
      <c r="H9" t="n">
        <v>465</v>
      </c>
      <c r="I9" t="n">
        <v>0.07000000000000001</v>
      </c>
    </row>
    <row r="10">
      <c r="A10" t="inlineStr">
        <is>
          <t>Lima</t>
        </is>
      </c>
      <c r="B10" t="inlineStr">
        <is>
          <t>Peru</t>
        </is>
      </c>
      <c r="C10" t="inlineStr">
        <is>
          <t>LATAM</t>
        </is>
      </c>
      <c r="D10" t="inlineStr">
        <is>
          <t>7/9/2014</t>
        </is>
      </c>
      <c r="E10" t="inlineStr">
        <is>
          <t>Iron</t>
        </is>
      </c>
      <c r="F10" t="inlineStr">
        <is>
          <t>Christopher Cresswell</t>
        </is>
      </c>
      <c r="G10" t="n">
        <v>30</v>
      </c>
      <c r="H10" t="n">
        <v>28</v>
      </c>
      <c r="I10" t="n">
        <v>0.0667</v>
      </c>
    </row>
    <row r="11">
      <c r="A11" t="inlineStr">
        <is>
          <t>London</t>
        </is>
      </c>
      <c r="B11" t="inlineStr">
        <is>
          <t>UK</t>
        </is>
      </c>
      <c r="C11" t="inlineStr">
        <is>
          <t>EMEA</t>
        </is>
      </c>
      <c r="D11" t="inlineStr">
        <is>
          <t>11/12/2015</t>
        </is>
      </c>
      <c r="E11" t="inlineStr">
        <is>
          <t>Washing Machine</t>
        </is>
      </c>
      <c r="F11" t="inlineStr">
        <is>
          <t>Francis Godden</t>
        </is>
      </c>
      <c r="G11" t="n">
        <v>800</v>
      </c>
      <c r="H11" t="n">
        <v>760</v>
      </c>
      <c r="I11" t="n">
        <v>0.05</v>
      </c>
    </row>
    <row r="12">
      <c r="A12" t="inlineStr">
        <is>
          <t>Moscow</t>
        </is>
      </c>
      <c r="B12" t="inlineStr">
        <is>
          <t>Russia</t>
        </is>
      </c>
      <c r="C12" t="inlineStr">
        <is>
          <t>EMEA</t>
        </is>
      </c>
      <c r="D12" t="inlineStr">
        <is>
          <t>6/10/2018</t>
        </is>
      </c>
      <c r="E12" t="inlineStr">
        <is>
          <t>Microwave</t>
        </is>
      </c>
      <c r="F12" t="inlineStr">
        <is>
          <t>May Wilmot</t>
        </is>
      </c>
      <c r="G12" t="n">
        <v>80</v>
      </c>
      <c r="H12" t="n">
        <v>79</v>
      </c>
      <c r="I12" t="n">
        <v>0.0125</v>
      </c>
    </row>
    <row r="13">
      <c r="A13" t="inlineStr">
        <is>
          <t>Osaka</t>
        </is>
      </c>
      <c r="B13" t="inlineStr">
        <is>
          <t>Japan</t>
        </is>
      </c>
      <c r="C13" t="inlineStr">
        <is>
          <t>APAC</t>
        </is>
      </c>
      <c r="D13" t="inlineStr">
        <is>
          <t>7/23/2016</t>
        </is>
      </c>
      <c r="E13" t="inlineStr">
        <is>
          <t>Refrigerator</t>
        </is>
      </c>
      <c r="F13" t="inlineStr">
        <is>
          <t>Kenneth Walter</t>
        </is>
      </c>
      <c r="G13" t="n">
        <v>1000</v>
      </c>
      <c r="H13" t="n">
        <v>950</v>
      </c>
      <c r="I13" t="n">
        <v>0.05</v>
      </c>
    </row>
    <row r="14">
      <c r="A14" t="inlineStr">
        <is>
          <t>Prague</t>
        </is>
      </c>
      <c r="B14" t="inlineStr">
        <is>
          <t>Czech Republic</t>
        </is>
      </c>
      <c r="C14" t="inlineStr">
        <is>
          <t>EMEA</t>
        </is>
      </c>
      <c r="D14" t="inlineStr">
        <is>
          <t>9/28/2017</t>
        </is>
      </c>
      <c r="E14" t="inlineStr">
        <is>
          <t>Washing Machine</t>
        </is>
      </c>
      <c r="F14" t="inlineStr">
        <is>
          <t>Edward Khan</t>
        </is>
      </c>
      <c r="G14" t="n">
        <v>800</v>
      </c>
      <c r="H14" t="n">
        <v>736</v>
      </c>
      <c r="I14" t="n">
        <v>0.08</v>
      </c>
    </row>
    <row r="15">
      <c r="A15" t="inlineStr">
        <is>
          <t>Riyadh</t>
        </is>
      </c>
      <c r="B15" t="inlineStr">
        <is>
          <t>Saudi Arabia</t>
        </is>
      </c>
      <c r="C15" t="inlineStr">
        <is>
          <t>EMEA</t>
        </is>
      </c>
      <c r="D15" t="inlineStr">
        <is>
          <t>7/10/2017</t>
        </is>
      </c>
      <c r="E15" t="inlineStr">
        <is>
          <t>Refrigerator</t>
        </is>
      </c>
      <c r="F15" t="inlineStr">
        <is>
          <t>Danny Brooks</t>
        </is>
      </c>
      <c r="G15" t="n">
        <v>1000</v>
      </c>
      <c r="H15" t="n">
        <v>500</v>
      </c>
      <c r="I15" t="n">
        <v>0.5</v>
      </c>
    </row>
    <row r="16">
      <c r="A16" t="inlineStr">
        <is>
          <t>Sao Paolo</t>
        </is>
      </c>
      <c r="B16" t="inlineStr">
        <is>
          <t>Brazil</t>
        </is>
      </c>
      <c r="C16" t="inlineStr">
        <is>
          <t>LATAM</t>
        </is>
      </c>
      <c r="D16" t="inlineStr">
        <is>
          <t>3/4/2017</t>
        </is>
      </c>
      <c r="E16" t="inlineStr">
        <is>
          <t>Air conditioner</t>
        </is>
      </c>
      <c r="F16" t="inlineStr">
        <is>
          <t>Gary Reynolds</t>
        </is>
      </c>
      <c r="G16" t="n">
        <v>700</v>
      </c>
      <c r="H16" t="n">
        <v>686</v>
      </c>
      <c r="I16" t="n">
        <v>0.02</v>
      </c>
    </row>
    <row r="17">
      <c r="A17" t="inlineStr">
        <is>
          <t>Seattle</t>
        </is>
      </c>
      <c r="B17" t="inlineStr">
        <is>
          <t>USA</t>
        </is>
      </c>
      <c r="C17" t="inlineStr">
        <is>
          <t>NA</t>
        </is>
      </c>
      <c r="D17" t="inlineStr">
        <is>
          <t>2/13/2018</t>
        </is>
      </c>
      <c r="E17" t="inlineStr">
        <is>
          <t>Iron</t>
        </is>
      </c>
      <c r="F17" t="inlineStr">
        <is>
          <t>Lesleyann Pope</t>
        </is>
      </c>
      <c r="G17" t="n">
        <v>30</v>
      </c>
      <c r="H17" t="n">
        <v>27</v>
      </c>
      <c r="I17" t="n">
        <v>0.1</v>
      </c>
    </row>
    <row r="18">
      <c r="A18" t="inlineStr">
        <is>
          <t>Shenzhen</t>
        </is>
      </c>
      <c r="B18" t="inlineStr">
        <is>
          <t>China</t>
        </is>
      </c>
      <c r="C18" t="inlineStr">
        <is>
          <t>APAC</t>
        </is>
      </c>
      <c r="D18" t="inlineStr">
        <is>
          <t>4/25/2016</t>
        </is>
      </c>
      <c r="E18" t="inlineStr">
        <is>
          <t>Iron</t>
        </is>
      </c>
      <c r="F18" t="inlineStr">
        <is>
          <t>Gary Shaw</t>
        </is>
      </c>
      <c r="G18" t="n">
        <v>30</v>
      </c>
      <c r="H18" t="n">
        <v>29</v>
      </c>
      <c r="I18" t="n">
        <v>0.0333</v>
      </c>
    </row>
    <row r="19">
      <c r="A19" t="inlineStr">
        <is>
          <t>Sydney</t>
        </is>
      </c>
      <c r="B19" t="inlineStr">
        <is>
          <t>Australia</t>
        </is>
      </c>
      <c r="C19" t="inlineStr">
        <is>
          <t>APAC</t>
        </is>
      </c>
      <c r="D19" t="inlineStr">
        <is>
          <t>3/3/2015</t>
        </is>
      </c>
      <c r="E19" t="inlineStr">
        <is>
          <t>Toaster</t>
        </is>
      </c>
      <c r="F19" t="inlineStr">
        <is>
          <t>Christine Davies</t>
        </is>
      </c>
      <c r="G19" t="n">
        <v>50</v>
      </c>
      <c r="H19" t="n">
        <v>37</v>
      </c>
      <c r="I19" t="n">
        <v>0.26</v>
      </c>
    </row>
    <row r="20">
      <c r="A20" t="inlineStr">
        <is>
          <t>Sydney</t>
        </is>
      </c>
      <c r="B20" t="inlineStr">
        <is>
          <t>Australia</t>
        </is>
      </c>
      <c r="C20" t="inlineStr">
        <is>
          <t>APAC</t>
        </is>
      </c>
      <c r="D20" t="inlineStr">
        <is>
          <t>12/11/2018</t>
        </is>
      </c>
      <c r="E20" t="inlineStr">
        <is>
          <t>Washing Machine</t>
        </is>
      </c>
      <c r="F20" t="inlineStr">
        <is>
          <t>James Ricketts</t>
        </is>
      </c>
      <c r="G20" t="n">
        <v>800</v>
      </c>
      <c r="H20" t="n">
        <v>672</v>
      </c>
      <c r="I20" t="n">
        <v>0.16</v>
      </c>
    </row>
    <row r="21">
      <c r="A21" t="inlineStr">
        <is>
          <t>Tel Aviv</t>
        </is>
      </c>
      <c r="B21" t="inlineStr">
        <is>
          <t>Israel</t>
        </is>
      </c>
      <c r="C21" t="inlineStr">
        <is>
          <t>EMEA</t>
        </is>
      </c>
      <c r="D21" t="inlineStr">
        <is>
          <t>6/12/2014</t>
        </is>
      </c>
      <c r="E21" t="inlineStr">
        <is>
          <t>Refrigerator</t>
        </is>
      </c>
      <c r="F21" t="inlineStr">
        <is>
          <t>Thomas Gordon</t>
        </is>
      </c>
      <c r="G21" t="n">
        <v>1000</v>
      </c>
      <c r="H21" t="n">
        <v>620</v>
      </c>
      <c r="I21" t="n">
        <v>0.38</v>
      </c>
    </row>
    <row r="22">
      <c r="A22" t="inlineStr">
        <is>
          <t>Tijuana</t>
        </is>
      </c>
      <c r="B22" t="inlineStr">
        <is>
          <t>Mexico</t>
        </is>
      </c>
      <c r="C22" t="inlineStr">
        <is>
          <t>LATAM</t>
        </is>
      </c>
      <c r="D22" t="inlineStr">
        <is>
          <t>7/6/2016</t>
        </is>
      </c>
      <c r="E22" t="inlineStr">
        <is>
          <t>Iron</t>
        </is>
      </c>
      <c r="F22" t="inlineStr">
        <is>
          <t>Gillian Allnutt</t>
        </is>
      </c>
      <c r="G22" t="n">
        <v>30</v>
      </c>
      <c r="H22" t="n">
        <v>28</v>
      </c>
      <c r="I22" t="n">
        <v>0.0667</v>
      </c>
    </row>
    <row r="23">
      <c r="A23" t="inlineStr">
        <is>
          <t>Tijuana</t>
        </is>
      </c>
      <c r="B23" t="inlineStr">
        <is>
          <t>Mexico</t>
        </is>
      </c>
      <c r="C23" t="inlineStr">
        <is>
          <t>LATAM</t>
        </is>
      </c>
      <c r="D23" t="inlineStr">
        <is>
          <t>9/3/2015</t>
        </is>
      </c>
      <c r="E23" t="inlineStr">
        <is>
          <t>Iron</t>
        </is>
      </c>
      <c r="F23" t="inlineStr">
        <is>
          <t>Richard Allnutt</t>
        </is>
      </c>
      <c r="G23" t="n">
        <v>30</v>
      </c>
      <c r="H23" t="n">
        <v>28</v>
      </c>
      <c r="I23" t="n">
        <v>0.0667</v>
      </c>
    </row>
    <row r="24">
      <c r="A24" t="inlineStr">
        <is>
          <t>Toronto</t>
        </is>
      </c>
      <c r="B24" t="inlineStr">
        <is>
          <t>Canada</t>
        </is>
      </c>
      <c r="C24" t="inlineStr">
        <is>
          <t>NA</t>
        </is>
      </c>
      <c r="D24" t="inlineStr">
        <is>
          <t>4/23/2015</t>
        </is>
      </c>
      <c r="E24" t="inlineStr">
        <is>
          <t>Microwave</t>
        </is>
      </c>
      <c r="F24" t="inlineStr">
        <is>
          <t>David Shiner</t>
        </is>
      </c>
      <c r="G24" t="n">
        <v>80</v>
      </c>
      <c r="H24" t="n">
        <v>54</v>
      </c>
      <c r="I24" t="n">
        <v>0.325</v>
      </c>
    </row>
    <row r="25">
      <c r="A25" t="inlineStr">
        <is>
          <t>Toronto</t>
        </is>
      </c>
      <c r="B25" t="inlineStr">
        <is>
          <t>Canada</t>
        </is>
      </c>
      <c r="C25" t="inlineStr">
        <is>
          <t>NA</t>
        </is>
      </c>
      <c r="D25" t="inlineStr">
        <is>
          <t>11/3/2014</t>
        </is>
      </c>
      <c r="E25" t="inlineStr">
        <is>
          <t>Ceiling fan</t>
        </is>
      </c>
      <c r="F25" t="inlineStr">
        <is>
          <t>Robin Hall</t>
        </is>
      </c>
      <c r="G25" t="n">
        <v>150</v>
      </c>
      <c r="H25" t="n">
        <v>150</v>
      </c>
      <c r="I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0" customWidth="1" min="4" max="4"/>
  </cols>
  <sheetData>
    <row r="1">
      <c r="A1" s="2" t="inlineStr">
        <is>
          <t>Sales Analysis by Region and Item</t>
        </is>
      </c>
    </row>
    <row r="3">
      <c r="A3" s="3" t="inlineStr">
        <is>
          <t>⚠️ TO CREATE A REAL PIVOT TABLE:</t>
        </is>
      </c>
    </row>
    <row r="4">
      <c r="A4" s="4" t="inlineStr">
        <is>
          <t>1. Click on the "Data" sheet</t>
        </is>
      </c>
    </row>
    <row r="5">
      <c r="A5" s="4" t="inlineStr">
        <is>
          <t>2. Select cells A1:I25 (all data including headers)</t>
        </is>
      </c>
    </row>
    <row r="6">
      <c r="A6" s="4" t="inlineStr">
        <is>
          <t>3. Go to Insert menu → PivotTable</t>
        </is>
      </c>
    </row>
    <row r="7">
      <c r="A7" s="4" t="inlineStr">
        <is>
          <t>4. Choose "New Worksheet" and click OK</t>
        </is>
      </c>
    </row>
    <row r="8">
      <c r="A8" s="4" t="inlineStr">
        <is>
          <t>5. Drag fields to build your pivot table:</t>
        </is>
      </c>
    </row>
    <row r="9">
      <c r="A9" s="4" t="inlineStr">
        <is>
          <t xml:space="preserve">   - Region → Rows</t>
        </is>
      </c>
    </row>
    <row r="10">
      <c r="A10" s="4" t="inlineStr">
        <is>
          <t xml:space="preserve">   - Item → Rows</t>
        </is>
      </c>
    </row>
    <row r="11">
      <c r="A11" s="4" t="inlineStr">
        <is>
          <t xml:space="preserve">   - Actual Price → Values (Sum)</t>
        </is>
      </c>
    </row>
    <row r="12">
      <c r="A12" s="4" t="inlineStr">
        <is>
          <t>6. Now you will see PivotTable Fields pane!</t>
        </is>
      </c>
    </row>
    <row r="14">
      <c r="A14" s="5" t="inlineStr">
        <is>
          <t>Sample Summary: Sales by Region</t>
        </is>
      </c>
    </row>
    <row r="15">
      <c r="A15" s="6" t="inlineStr">
        <is>
          <t>Region</t>
        </is>
      </c>
      <c r="B15" s="6" t="inlineStr">
        <is>
          <t>Total Sales</t>
        </is>
      </c>
      <c r="C15" s="6" t="inlineStr">
        <is>
          <t>Avg Discount %</t>
        </is>
      </c>
      <c r="D15" s="6" t="inlineStr">
        <is>
          <t>Count</t>
        </is>
      </c>
    </row>
    <row r="16">
      <c r="A16" s="7" t="inlineStr">
        <is>
          <t>APAC</t>
        </is>
      </c>
      <c r="B16" s="8">
        <f>SUMIF(Data!C:C,A16,Data!H:H)</f>
        <v/>
      </c>
      <c r="C16" s="9">
        <f>AVERAGEIF(Data!C:C,A16,Data!I:I)</f>
        <v/>
      </c>
      <c r="D16" s="7">
        <f>COUNTIF(Data!C:C,A16)</f>
        <v/>
      </c>
    </row>
    <row r="17">
      <c r="A17" s="7" t="inlineStr">
        <is>
          <t>EMEA</t>
        </is>
      </c>
      <c r="B17" s="8">
        <f>SUMIF(Data!C:C,A17,Data!H:H)</f>
        <v/>
      </c>
      <c r="C17" s="9">
        <f>AVERAGEIF(Data!C:C,A17,Data!I:I)</f>
        <v/>
      </c>
      <c r="D17" s="7">
        <f>COUNTIF(Data!C:C,A17)</f>
        <v/>
      </c>
    </row>
    <row r="18">
      <c r="A18" s="7" t="inlineStr">
        <is>
          <t>NA</t>
        </is>
      </c>
      <c r="B18" s="8">
        <f>SUMIF(Data!C:C,A18,Data!H:H)</f>
        <v/>
      </c>
      <c r="C18" s="9">
        <f>AVERAGEIF(Data!C:C,A18,Data!I:I)</f>
        <v/>
      </c>
      <c r="D18" s="7">
        <f>COUNTIF(Data!C:C,A18)</f>
        <v/>
      </c>
    </row>
    <row r="19">
      <c r="A19" s="10" t="inlineStr">
        <is>
          <t>Total</t>
        </is>
      </c>
      <c r="B19" s="11">
        <f>SUM(B16:B18)</f>
        <v/>
      </c>
      <c r="C19" s="12" t="n"/>
      <c r="D19" s="10">
        <f>SUM(D16:D18)</f>
        <v/>
      </c>
    </row>
    <row r="22">
      <c r="A22" s="5" t="inlineStr">
        <is>
          <t>Sample Summary: Sales by Item</t>
        </is>
      </c>
    </row>
    <row r="23">
      <c r="A23" s="6" t="inlineStr">
        <is>
          <t>Item</t>
        </is>
      </c>
      <c r="B23" s="6" t="inlineStr">
        <is>
          <t>Total Sales</t>
        </is>
      </c>
      <c r="C23" s="6" t="inlineStr">
        <is>
          <t>Count</t>
        </is>
      </c>
    </row>
    <row r="24">
      <c r="A24" s="7" t="inlineStr">
        <is>
          <t>Air conditioner</t>
        </is>
      </c>
      <c r="B24" s="8">
        <f>SUMIF(Data!E:E,A24,Data!H:H)</f>
        <v/>
      </c>
      <c r="C24" s="7">
        <f>COUNTIF(Data!E:E,A24)</f>
        <v/>
      </c>
    </row>
    <row r="25">
      <c r="A25" s="7" t="inlineStr">
        <is>
          <t>Coffee grinder</t>
        </is>
      </c>
      <c r="B25" s="8">
        <f>SUMIF(Data!E:E,A25,Data!H:H)</f>
        <v/>
      </c>
      <c r="C25" s="7">
        <f>COUNTIF(Data!E:E,A25)</f>
        <v/>
      </c>
    </row>
    <row r="26">
      <c r="A26" s="7" t="inlineStr">
        <is>
          <t>Iron</t>
        </is>
      </c>
      <c r="B26" s="8">
        <f>SUMIF(Data!E:E,A26,Data!H:H)</f>
        <v/>
      </c>
      <c r="C26" s="7">
        <f>COUNTIF(Data!E:E,A26)</f>
        <v/>
      </c>
    </row>
    <row r="27">
      <c r="A27" s="7" t="inlineStr">
        <is>
          <t>Oven</t>
        </is>
      </c>
      <c r="B27" s="8">
        <f>SUMIF(Data!E:E,A27,Data!H:H)</f>
        <v/>
      </c>
      <c r="C27" s="7">
        <f>COUNTIF(Data!E:E,A27)</f>
        <v/>
      </c>
    </row>
    <row r="28">
      <c r="A28" s="7" t="inlineStr">
        <is>
          <t>Refrigerator</t>
        </is>
      </c>
      <c r="B28" s="8">
        <f>SUMIF(Data!E:E,A28,Data!H:H)</f>
        <v/>
      </c>
      <c r="C28" s="7">
        <f>COUNTIF(Data!E:E,A28)</f>
        <v/>
      </c>
    </row>
    <row r="29">
      <c r="A29" s="7" t="inlineStr">
        <is>
          <t>Television</t>
        </is>
      </c>
      <c r="B29" s="8">
        <f>SUMIF(Data!E:E,A29,Data!H:H)</f>
        <v/>
      </c>
      <c r="C29" s="7">
        <f>COUNTIF(Data!E:E,A29)</f>
        <v/>
      </c>
    </row>
    <row r="30">
      <c r="A30" s="7" t="inlineStr">
        <is>
          <t>Toaster</t>
        </is>
      </c>
      <c r="B30" s="8">
        <f>SUMIF(Data!E:E,A30,Data!H:H)</f>
        <v/>
      </c>
      <c r="C30" s="7">
        <f>COUNTIF(Data!E:E,A30)</f>
        <v/>
      </c>
    </row>
    <row r="31">
      <c r="A31" s="7" t="inlineStr">
        <is>
          <t>Washing Machine</t>
        </is>
      </c>
      <c r="B31" s="8">
        <f>SUMIF(Data!E:E,A31,Data!H:H)</f>
        <v/>
      </c>
      <c r="C31" s="7">
        <f>COUNTIF(Data!E:E,A31)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2026-09-27T02:09:50Z</dcterms:created>
  <dcterms:modified xmlns:dcterms="http://purl.org/dc/terms/" xmlns:xsi="http://www.w3.org/2001/XMLSchema-instance" xsi:type="dcterms:W3CDTF">2026-09-27T02:09:50Z</dcterms:modified>
</cp:coreProperties>
</file>