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1 - ABC Ltd" sheetId="1" state="visible" r:id="rId1"/>
    <sheet xmlns:r="http://schemas.openxmlformats.org/officeDocument/2006/relationships" name="Problem 2 - Coffee Shop" sheetId="2" state="visible" r:id="rId2"/>
    <sheet xmlns:r="http://schemas.openxmlformats.org/officeDocument/2006/relationships" name="Problem 3 - Example" sheetId="3" state="visible" r:id="rId3"/>
    <sheet xmlns:r="http://schemas.openxmlformats.org/officeDocument/2006/relationships" name="Alpha Restaur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#,##0&quot; units&quot;"/>
    <numFmt numFmtId="166" formatCode="#,##0&quot; cups&quot;"/>
    <numFmt numFmtId="167" formatCode="#,##0&quot; meals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0000FF"/>
      <sz val="11"/>
    </font>
    <font>
      <name val="Arial"/>
      <b val="1"/>
      <color rgb="00006400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0" fontId="0" fillId="0" borderId="1" pivotButton="0" quotePrefix="0" xfId="0"/>
    <xf numFmtId="164" fontId="0" fillId="4" borderId="1" pivotButton="0" quotePrefix="0" xfId="0"/>
    <xf numFmtId="165" fontId="5" fillId="5" borderId="1" pivotButton="0" quotePrefix="0" xfId="0"/>
    <xf numFmtId="164" fontId="0" fillId="0" borderId="1" pivotButton="0" quotePrefix="0" xfId="0"/>
    <xf numFmtId="164" fontId="5" fillId="5" borderId="1" pivotButton="0" quotePrefix="0" xfId="0"/>
    <xf numFmtId="166" fontId="5" fillId="5" borderId="1" pivotButton="0" quotePrefix="0" xfId="0"/>
    <xf numFmtId="0" fontId="5" fillId="0" borderId="0" pivotButton="0" quotePrefix="0" xfId="0"/>
    <xf numFmtId="164" fontId="2" fillId="4" borderId="1" pivotButton="0" quotePrefix="0" xfId="0"/>
    <xf numFmtId="167" fontId="5" fillId="5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BEP &amp; CVP Analysis - Problem 1: ABC Ltd (Electric Fans)</t>
        </is>
      </c>
    </row>
    <row r="3">
      <c r="A3" s="2" t="inlineStr">
        <is>
          <t>GIVEN DATA</t>
        </is>
      </c>
    </row>
    <row r="4">
      <c r="A4" s="3" t="inlineStr">
        <is>
          <t>Particulars</t>
        </is>
      </c>
      <c r="B4" s="3" t="inlineStr">
        <is>
          <t>Value</t>
        </is>
      </c>
    </row>
    <row r="5">
      <c r="A5" s="4" t="inlineStr">
        <is>
          <t>Selling Price per Fan</t>
        </is>
      </c>
      <c r="B5" s="5" t="n">
        <v>2000</v>
      </c>
    </row>
    <row r="6">
      <c r="A6" s="4" t="inlineStr">
        <is>
          <t>Variable Cost per Fan</t>
        </is>
      </c>
      <c r="B6" s="5" t="n">
        <v>1200</v>
      </c>
    </row>
    <row r="7">
      <c r="A7" s="4" t="inlineStr">
        <is>
          <t>Annual Fixed Costs</t>
        </is>
      </c>
      <c r="B7" s="5" t="n">
        <v>1600000</v>
      </c>
    </row>
    <row r="9">
      <c r="A9" s="2" t="inlineStr">
        <is>
          <t>CALCULATIONS</t>
        </is>
      </c>
    </row>
    <row r="10">
      <c r="A10" s="2" t="inlineStr">
        <is>
          <t>Step 1: Contribution per Unit</t>
        </is>
      </c>
    </row>
    <row r="11">
      <c r="A11" s="6" t="inlineStr">
        <is>
          <t>Formula: Selling Price - Variable Cost</t>
        </is>
      </c>
    </row>
    <row r="12">
      <c r="A12" s="7" t="inlineStr">
        <is>
          <t>Contribution per Unit</t>
        </is>
      </c>
      <c r="B12" s="8">
        <f>B5-B6</f>
        <v/>
      </c>
    </row>
    <row r="14">
      <c r="A14" s="2" t="inlineStr">
        <is>
          <t>Q1: Break-even Units</t>
        </is>
      </c>
    </row>
    <row r="15">
      <c r="A15" s="6" t="inlineStr">
        <is>
          <t>Formula: Fixed Costs ÷ Contribution per Unit</t>
        </is>
      </c>
    </row>
    <row r="16">
      <c r="A16" s="7" t="inlineStr">
        <is>
          <t>Break-even Units</t>
        </is>
      </c>
      <c r="B16" s="9">
        <f>B7/B12</f>
        <v/>
      </c>
    </row>
    <row r="18">
      <c r="A18" s="2" t="inlineStr">
        <is>
          <t>Q2: Profit if 3,000 fans are sold</t>
        </is>
      </c>
    </row>
    <row r="19">
      <c r="A19" s="6" t="inlineStr">
        <is>
          <t>Formula: (Units × Contribution) - Fixed Costs</t>
        </is>
      </c>
    </row>
    <row r="20">
      <c r="A20" s="7" t="inlineStr">
        <is>
          <t>Units Sold</t>
        </is>
      </c>
      <c r="B20" s="7" t="n">
        <v>3000</v>
      </c>
    </row>
    <row r="21">
      <c r="A21" s="7" t="inlineStr">
        <is>
          <t>Total Contribution</t>
        </is>
      </c>
      <c r="B21" s="10">
        <f>B20*B12</f>
        <v/>
      </c>
    </row>
    <row r="22">
      <c r="A22" s="7" t="inlineStr">
        <is>
          <t>Less: Fixed Costs</t>
        </is>
      </c>
      <c r="B22" s="10">
        <f>B7</f>
        <v/>
      </c>
    </row>
    <row r="23">
      <c r="A23" s="7" t="inlineStr">
        <is>
          <t>Profit</t>
        </is>
      </c>
      <c r="B23" s="11">
        <f>B21-B22</f>
        <v/>
      </c>
    </row>
    <row r="25">
      <c r="A25" s="2" t="inlineStr">
        <is>
          <t>Q3: Sales required to earn ₹8,00,000 profit</t>
        </is>
      </c>
    </row>
    <row r="26">
      <c r="A26" s="6" t="inlineStr">
        <is>
          <t>Formula: (Fixed Costs + Target Profit) ÷ Contribution per Unit</t>
        </is>
      </c>
    </row>
    <row r="27">
      <c r="A27" s="7" t="inlineStr">
        <is>
          <t>Target Profit</t>
        </is>
      </c>
      <c r="B27" s="10" t="n">
        <v>800000</v>
      </c>
    </row>
    <row r="28">
      <c r="A28" s="7" t="inlineStr">
        <is>
          <t>Units Required</t>
        </is>
      </c>
      <c r="B28" s="9">
        <f>(B7+B27)/B12</f>
        <v/>
      </c>
    </row>
    <row r="29">
      <c r="A29" s="7" t="inlineStr">
        <is>
          <t>Sales Value Required</t>
        </is>
      </c>
      <c r="B29" s="11">
        <f>B28*B5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BEP &amp; CVP Analysis - Problem 2: Coffee Shop</t>
        </is>
      </c>
    </row>
    <row r="3">
      <c r="A3" s="2" t="inlineStr">
        <is>
          <t>GIVEN DATA</t>
        </is>
      </c>
    </row>
    <row r="4">
      <c r="A4" s="3" t="inlineStr">
        <is>
          <t>Particulars</t>
        </is>
      </c>
      <c r="B4" s="3" t="inlineStr">
        <is>
          <t>Value</t>
        </is>
      </c>
    </row>
    <row r="5">
      <c r="A5" s="4" t="inlineStr">
        <is>
          <t>Selling Price per Cup</t>
        </is>
      </c>
      <c r="B5" s="5" t="n">
        <v>100</v>
      </c>
    </row>
    <row r="6">
      <c r="A6" s="4" t="inlineStr">
        <is>
          <t>Variable Cost per Cup</t>
        </is>
      </c>
      <c r="B6" s="5" t="n">
        <v>60</v>
      </c>
    </row>
    <row r="7">
      <c r="A7" s="4" t="inlineStr">
        <is>
          <t>Monthly Fixed Costs</t>
        </is>
      </c>
      <c r="B7" s="5" t="n">
        <v>80000</v>
      </c>
    </row>
    <row r="9">
      <c r="A9" s="2" t="inlineStr">
        <is>
          <t>CALCULATION: How many cups to avoid loss?</t>
        </is>
      </c>
    </row>
    <row r="11">
      <c r="A11" s="2" t="inlineStr">
        <is>
          <t>Step 1: Contribution per Cup</t>
        </is>
      </c>
    </row>
    <row r="12">
      <c r="A12" s="6" t="inlineStr">
        <is>
          <t>Formula: Selling Price - Variable Cost</t>
        </is>
      </c>
    </row>
    <row r="13">
      <c r="A13" s="7" t="inlineStr">
        <is>
          <t>Contribution per Cup</t>
        </is>
      </c>
      <c r="B13" s="8">
        <f>B5-B6</f>
        <v/>
      </c>
    </row>
    <row r="15">
      <c r="A15" s="2" t="inlineStr">
        <is>
          <t>Step 2: Break-even Units (to avoid loss)</t>
        </is>
      </c>
    </row>
    <row r="16">
      <c r="A16" s="6" t="inlineStr">
        <is>
          <t>Formula: Fixed Costs ÷ Contribution per Unit</t>
        </is>
      </c>
    </row>
    <row r="17">
      <c r="A17" s="7" t="inlineStr">
        <is>
          <t>Break-even Cups per Month</t>
        </is>
      </c>
      <c r="B17" s="12">
        <f>B7/B13</f>
        <v/>
      </c>
    </row>
    <row r="19">
      <c r="A19" s="13" t="inlineStr">
        <is>
          <t>ANSWER: Sell at least 2,000 cups per month to avoid loss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BEP &amp; CVP Analysis - Problem 3: Example</t>
        </is>
      </c>
    </row>
    <row r="3">
      <c r="A3" s="2" t="inlineStr">
        <is>
          <t>GIVEN DATA</t>
        </is>
      </c>
    </row>
    <row r="4">
      <c r="A4" s="3" t="inlineStr">
        <is>
          <t>Particulars</t>
        </is>
      </c>
      <c r="B4" s="3" t="inlineStr">
        <is>
          <t>Value</t>
        </is>
      </c>
    </row>
    <row r="5">
      <c r="A5" s="4" t="inlineStr">
        <is>
          <t>Selling Price</t>
        </is>
      </c>
      <c r="B5" s="5" t="n">
        <v>100</v>
      </c>
    </row>
    <row r="6">
      <c r="A6" s="4" t="inlineStr">
        <is>
          <t>Variable Cost</t>
        </is>
      </c>
      <c r="B6" s="5" t="n">
        <v>60</v>
      </c>
    </row>
    <row r="7">
      <c r="A7" s="4" t="inlineStr">
        <is>
          <t>Fixed Cost</t>
        </is>
      </c>
      <c r="B7" s="5" t="n">
        <v>200000</v>
      </c>
    </row>
    <row r="9">
      <c r="A9" s="2" t="inlineStr">
        <is>
          <t>CALCULATIONS</t>
        </is>
      </c>
    </row>
    <row r="11">
      <c r="A11" s="2" t="inlineStr">
        <is>
          <t>Step 1: Contribution per Unit</t>
        </is>
      </c>
    </row>
    <row r="12">
      <c r="A12" s="6" t="inlineStr">
        <is>
          <t>Contribution = Selling Price - Variable Cost</t>
        </is>
      </c>
    </row>
    <row r="13">
      <c r="A13" s="7" t="inlineStr">
        <is>
          <t>Contribution per Unit</t>
        </is>
      </c>
      <c r="B13" s="8">
        <f>B5-B6</f>
        <v/>
      </c>
    </row>
    <row r="15">
      <c r="A15" s="2" t="inlineStr">
        <is>
          <t>Step 2: Break-even Point</t>
        </is>
      </c>
    </row>
    <row r="16">
      <c r="A16" s="6" t="inlineStr">
        <is>
          <t>BEP = Fixed Costs ÷ Contribution per Unit</t>
        </is>
      </c>
    </row>
    <row r="17">
      <c r="A17" s="7" t="inlineStr">
        <is>
          <t>Break-even Units</t>
        </is>
      </c>
      <c r="B17" s="9">
        <f>B7/B13</f>
        <v/>
      </c>
    </row>
    <row r="19">
      <c r="A19" s="2" t="inlineStr">
        <is>
          <t>Step 3: Check Profit at BEP</t>
        </is>
      </c>
    </row>
    <row r="20">
      <c r="A20" s="7" t="inlineStr">
        <is>
          <t>Sales Revenue</t>
        </is>
      </c>
      <c r="B20" s="10">
        <f>B17*B5</f>
        <v/>
      </c>
    </row>
    <row r="21">
      <c r="A21" s="7" t="inlineStr">
        <is>
          <t>Less: Variable Costs</t>
        </is>
      </c>
      <c r="B21" s="10">
        <f>B17*B6</f>
        <v/>
      </c>
    </row>
    <row r="22">
      <c r="A22" s="7" t="inlineStr">
        <is>
          <t>Contribution</t>
        </is>
      </c>
      <c r="B22" s="10">
        <f>B20-B21</f>
        <v/>
      </c>
    </row>
    <row r="23">
      <c r="A23" s="7" t="inlineStr">
        <is>
          <t>Less: Fixed Costs</t>
        </is>
      </c>
      <c r="B23" s="10">
        <f>B7</f>
        <v/>
      </c>
    </row>
    <row r="24">
      <c r="A24" s="7" t="inlineStr">
        <is>
          <t>Profit at BEP</t>
        </is>
      </c>
      <c r="B24" s="11">
        <f>B22-B23</f>
        <v/>
      </c>
    </row>
    <row r="26">
      <c r="A26" s="13" t="inlineStr">
        <is>
          <t>ANSWER: BEP = 5,000 units, Profit at BEP = Zero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BEP &amp; CVP Analysis - Alpha Restaurant</t>
        </is>
      </c>
    </row>
    <row r="3">
      <c r="A3" s="2" t="inlineStr">
        <is>
          <t>GIVEN DATA</t>
        </is>
      </c>
    </row>
    <row r="4">
      <c r="A4" s="3" t="inlineStr">
        <is>
          <t>Particulars</t>
        </is>
      </c>
      <c r="B4" s="3" t="inlineStr">
        <is>
          <t>Value</t>
        </is>
      </c>
    </row>
    <row r="5">
      <c r="A5" s="4" t="inlineStr">
        <is>
          <t>Selling Price per Meal</t>
        </is>
      </c>
      <c r="B5" s="5" t="n">
        <v>500</v>
      </c>
    </row>
    <row r="6">
      <c r="A6" s="4" t="inlineStr">
        <is>
          <t>Variable Cost per Meal</t>
        </is>
      </c>
      <c r="B6" s="5" t="n">
        <v>300</v>
      </c>
    </row>
    <row r="7">
      <c r="A7" s="4" t="inlineStr">
        <is>
          <t>Monthly Fixed Costs</t>
        </is>
      </c>
      <c r="B7" s="5" t="n">
        <v>400000</v>
      </c>
    </row>
    <row r="9">
      <c r="A9" s="2" t="inlineStr">
        <is>
          <t>SOLUTION</t>
        </is>
      </c>
    </row>
    <row r="11">
      <c r="A11" s="2" t="inlineStr">
        <is>
          <t>Step 1: Calculate Contribution per Meal</t>
        </is>
      </c>
    </row>
    <row r="12">
      <c r="A12" s="6" t="inlineStr">
        <is>
          <t>Formula: Selling Price - Variable Cost</t>
        </is>
      </c>
    </row>
    <row r="13">
      <c r="A13" s="7" t="inlineStr">
        <is>
          <t>Contribution per Meal</t>
        </is>
      </c>
      <c r="B13" s="14">
        <f>B5-B6</f>
        <v/>
      </c>
    </row>
    <row r="15">
      <c r="A15" s="2" t="inlineStr">
        <is>
          <t>Q1: Break-even Point in Units and Sales Value</t>
        </is>
      </c>
    </row>
    <row r="16">
      <c r="A16" s="6" t="inlineStr">
        <is>
          <t>Formula: Fixed Costs ÷ Contribution per Unit</t>
        </is>
      </c>
    </row>
    <row r="17">
      <c r="A17" s="7" t="inlineStr">
        <is>
          <t>Break-even Units</t>
        </is>
      </c>
      <c r="B17" s="15">
        <f>B7/B13</f>
        <v/>
      </c>
    </row>
    <row r="18">
      <c r="A18" s="7" t="inlineStr">
        <is>
          <t>Break-even Sales Value</t>
        </is>
      </c>
      <c r="B18" s="11">
        <f>B17*B5</f>
        <v/>
      </c>
    </row>
    <row r="20">
      <c r="A20" s="2" t="inlineStr">
        <is>
          <t>Q2: Profit if 3,000 meals are sold</t>
        </is>
      </c>
    </row>
    <row r="21">
      <c r="A21" s="6" t="inlineStr">
        <is>
          <t>Formula: (Units × Contribution) - Fixed Costs</t>
        </is>
      </c>
    </row>
    <row r="22">
      <c r="A22" s="7" t="inlineStr">
        <is>
          <t>Units Sold</t>
        </is>
      </c>
      <c r="B22" s="7" t="n">
        <v>3000</v>
      </c>
    </row>
    <row r="23">
      <c r="A23" s="7" t="inlineStr">
        <is>
          <t>Total Contribution (3000 × ₹200)</t>
        </is>
      </c>
      <c r="B23" s="10">
        <f>B22*B13</f>
        <v/>
      </c>
    </row>
    <row r="24">
      <c r="A24" s="7" t="inlineStr">
        <is>
          <t>Less: Fixed Costs</t>
        </is>
      </c>
      <c r="B24" s="10">
        <f>B7</f>
        <v/>
      </c>
    </row>
    <row r="25">
      <c r="A25" s="16" t="inlineStr">
        <is>
          <t>Profit</t>
        </is>
      </c>
      <c r="B25" s="11">
        <f>B23-B24</f>
        <v/>
      </c>
    </row>
    <row r="27">
      <c r="A27" s="2" t="inlineStr">
        <is>
          <t>Q3: Meals required for ₹2,00,000 Target Profit</t>
        </is>
      </c>
    </row>
    <row r="28">
      <c r="A28" s="6" t="inlineStr">
        <is>
          <t>Formula: (Fixed Costs + Target Profit) ÷ Contribution per Unit</t>
        </is>
      </c>
    </row>
    <row r="29">
      <c r="A29" s="7" t="inlineStr">
        <is>
          <t>Target Profit</t>
        </is>
      </c>
      <c r="B29" s="10" t="n">
        <v>200000</v>
      </c>
    </row>
    <row r="30">
      <c r="A30" s="7" t="inlineStr">
        <is>
          <t>Total Required (Fixed + Target)</t>
        </is>
      </c>
      <c r="B30" s="10">
        <f>B7+B29</f>
        <v/>
      </c>
    </row>
    <row r="31">
      <c r="A31" s="16" t="inlineStr">
        <is>
          <t>Meals Required</t>
        </is>
      </c>
      <c r="B31" s="15">
        <f>B30/B13</f>
        <v/>
      </c>
    </row>
    <row r="33">
      <c r="A33" s="2" t="inlineStr">
        <is>
          <t>ANSWERS SUMMARY</t>
        </is>
      </c>
    </row>
    <row r="34">
      <c r="A34" s="3" t="inlineStr">
        <is>
          <t>Question</t>
        </is>
      </c>
      <c r="B34" s="3" t="inlineStr">
        <is>
          <t>Answer</t>
        </is>
      </c>
    </row>
    <row r="35">
      <c r="A35" s="7" t="inlineStr">
        <is>
          <t>1. Break-even Units</t>
        </is>
      </c>
      <c r="B35" s="16">
        <f>B17</f>
        <v/>
      </c>
    </row>
    <row r="36">
      <c r="A36" s="7" t="inlineStr">
        <is>
          <t>1. Break-even Sales</t>
        </is>
      </c>
      <c r="B36" s="17">
        <f>B18</f>
        <v/>
      </c>
    </row>
    <row r="37">
      <c r="A37" s="7" t="inlineStr">
        <is>
          <t>2. Profit (3000 meals)</t>
        </is>
      </c>
      <c r="B37" s="17">
        <f>B25</f>
        <v/>
      </c>
    </row>
    <row r="38">
      <c r="A38" s="7" t="inlineStr">
        <is>
          <t>3. Meals for ₹2L profit</t>
        </is>
      </c>
      <c r="B38" s="17">
        <f>B31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2026-09-27T09:56:39Z</dcterms:created>
  <dcterms:modified xmlns:dcterms="http://purl.org/dc/terms/" xmlns:xsi="http://www.w3.org/2001/XMLSchema-instance" xsi:type="dcterms:W3CDTF">2026-09-27T10:03:35Z</dcterms:modified>
</cp:coreProperties>
</file>