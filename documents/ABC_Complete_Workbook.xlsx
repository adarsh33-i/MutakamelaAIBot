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C Allocation" sheetId="1" state="visible" r:id="rId1"/>
    <sheet xmlns:r="http://schemas.openxmlformats.org/officeDocument/2006/relationships" name="Example 2 - Allocation" sheetId="2" state="visible" r:id="rId2"/>
    <sheet xmlns:r="http://schemas.openxmlformats.org/officeDocument/2006/relationships" name="Numerical Ex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"/>
    <numFmt numFmtId="165" formatCode="₹#,##0&quot; per setup&quot;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  <fill>
      <patternFill patternType="solid">
        <fgColor rgb="00BDD7EE"/>
        <bgColor rgb="00BDD7E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4" fontId="4" fillId="3" borderId="1" pivotButton="0" quotePrefix="0" xfId="0"/>
    <xf numFmtId="0" fontId="4" fillId="0" borderId="0" pivotButton="0" quotePrefix="0" xfId="0"/>
    <xf numFmtId="4" fontId="4" fillId="0" borderId="0" pivotButton="0" quotePrefix="0" xfId="0"/>
    <xf numFmtId="0" fontId="2" fillId="2" borderId="1" applyAlignment="1" pivotButton="0" quotePrefix="0" xfId="0">
      <alignment horizontal="center"/>
    </xf>
    <xf numFmtId="0" fontId="0" fillId="4" borderId="1" pivotButton="0" quotePrefix="0" xfId="0"/>
    <xf numFmtId="164" fontId="0" fillId="4" borderId="1" pivotButton="0" quotePrefix="0" xfId="0"/>
    <xf numFmtId="164" fontId="4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4" fillId="3" borderId="1" pivotButton="0" quotePrefix="0" xfId="0"/>
    <xf numFmtId="0" fontId="4" fillId="5" borderId="1" pivotButton="0" quotePrefix="0" xfId="0"/>
    <xf numFmtId="165" fontId="4" fillId="5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Activity Based Costing - Overhead Allocation</t>
        </is>
      </c>
    </row>
    <row r="3">
      <c r="A3" s="2" t="inlineStr">
        <is>
          <t>Statement</t>
        </is>
      </c>
      <c r="B3" s="2" t="inlineStr">
        <is>
          <t>OH Cost</t>
        </is>
      </c>
      <c r="C3" s="2" t="inlineStr">
        <is>
          <t>Cost Driver</t>
        </is>
      </c>
      <c r="D3" s="2" t="inlineStr">
        <is>
          <t>Activity Ratio</t>
        </is>
      </c>
      <c r="E3" s="2" t="inlineStr">
        <is>
          <t>Activity Rate</t>
        </is>
      </c>
      <c r="F3" s="2" t="inlineStr">
        <is>
          <t>Standard</t>
        </is>
      </c>
      <c r="G3" s="2" t="inlineStr">
        <is>
          <t>Speciality</t>
        </is>
      </c>
    </row>
    <row r="4">
      <c r="A4" s="3" t="inlineStr">
        <is>
          <t>Purchasing</t>
        </is>
      </c>
      <c r="B4" s="4" t="n">
        <v>120000</v>
      </c>
      <c r="C4" s="3" t="inlineStr">
        <is>
          <t>No. of Purchase Orders</t>
        </is>
      </c>
      <c r="D4" s="3" t="inlineStr">
        <is>
          <t>82 : 118</t>
        </is>
      </c>
      <c r="E4" s="4">
        <f>B4/200</f>
        <v/>
      </c>
      <c r="F4" s="4">
        <f>E4*82</f>
        <v/>
      </c>
      <c r="G4" s="4">
        <f>E4*118</f>
        <v/>
      </c>
    </row>
    <row r="5">
      <c r="A5" s="3" t="inlineStr">
        <is>
          <t>Production Setup</t>
        </is>
      </c>
      <c r="B5" s="4" t="n">
        <v>202500</v>
      </c>
      <c r="C5" s="3" t="inlineStr">
        <is>
          <t>No. of Setups</t>
        </is>
      </c>
      <c r="D5" s="3" t="inlineStr">
        <is>
          <t>50 : 200</t>
        </is>
      </c>
      <c r="E5" s="4">
        <f>B5/250</f>
        <v/>
      </c>
      <c r="F5" s="4">
        <f>E5*50</f>
        <v/>
      </c>
      <c r="G5" s="4">
        <f>E5*200</f>
        <v/>
      </c>
    </row>
    <row r="6">
      <c r="A6" s="3" t="inlineStr">
        <is>
          <t>Inspection</t>
        </is>
      </c>
      <c r="B6" s="4" t="n">
        <v>160000</v>
      </c>
      <c r="C6" s="3" t="inlineStr">
        <is>
          <t>Inspection Hours</t>
        </is>
      </c>
      <c r="D6" s="3" t="inlineStr">
        <is>
          <t>300 : 500</t>
        </is>
      </c>
      <c r="E6" s="4">
        <f>B6/800</f>
        <v/>
      </c>
      <c r="F6" s="4">
        <f>E6*300</f>
        <v/>
      </c>
      <c r="G6" s="4">
        <f>E6*500</f>
        <v/>
      </c>
    </row>
    <row r="7">
      <c r="A7" s="3" t="inlineStr">
        <is>
          <t>Assembling</t>
        </is>
      </c>
      <c r="B7" s="4" t="n">
        <v>80000</v>
      </c>
      <c r="C7" s="3" t="inlineStr">
        <is>
          <t>Assembly Hours</t>
        </is>
      </c>
      <c r="D7" s="3" t="inlineStr">
        <is>
          <t>800 : 800</t>
        </is>
      </c>
      <c r="E7" s="4">
        <f>B7/1600</f>
        <v/>
      </c>
      <c r="F7" s="4">
        <f>E7*800</f>
        <v/>
      </c>
      <c r="G7" s="4">
        <f>E7*800</f>
        <v/>
      </c>
    </row>
    <row r="8">
      <c r="A8" s="3" t="inlineStr">
        <is>
          <t>Machine Maintenance</t>
        </is>
      </c>
      <c r="B8" s="4" t="n">
        <v>300000</v>
      </c>
      <c r="C8" s="3" t="inlineStr">
        <is>
          <t>Machine Hours</t>
        </is>
      </c>
      <c r="D8" s="3" t="inlineStr">
        <is>
          <t>5000 : 5000</t>
        </is>
      </c>
      <c r="E8" s="4">
        <f>B8/10000</f>
        <v/>
      </c>
      <c r="F8" s="4">
        <f>E8*5000</f>
        <v/>
      </c>
      <c r="G8" s="4">
        <f>E8*5000</f>
        <v/>
      </c>
    </row>
    <row r="9">
      <c r="A9" s="5" t="inlineStr">
        <is>
          <t>Total Overhead Allocated</t>
        </is>
      </c>
      <c r="F9" s="6">
        <f>SUM(F4:F8)</f>
        <v/>
      </c>
      <c r="G9" s="6">
        <f>SUM(G4:G8)</f>
        <v/>
      </c>
    </row>
    <row r="10">
      <c r="A10" s="7" t="inlineStr">
        <is>
          <t>Grand Total</t>
        </is>
      </c>
      <c r="F10" s="8">
        <f>F9+G9</f>
        <v/>
      </c>
    </row>
  </sheetData>
  <mergeCells count="2">
    <mergeCell ref="F10:G10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</cols>
  <sheetData>
    <row r="1">
      <c r="A1" s="1" t="inlineStr">
        <is>
          <t>Numerical Example 2: Allocating Overhead Costs</t>
        </is>
      </c>
    </row>
    <row r="3">
      <c r="A3" s="7" t="inlineStr">
        <is>
          <t>INPUT DATA</t>
        </is>
      </c>
    </row>
    <row r="4">
      <c r="A4" s="9" t="inlineStr">
        <is>
          <t>Activity</t>
        </is>
      </c>
      <c r="B4" s="9" t="inlineStr">
        <is>
          <t>Cost Driver Rate</t>
        </is>
      </c>
      <c r="C4" s="9" t="inlineStr">
        <is>
          <t>Product X Usage</t>
        </is>
      </c>
    </row>
    <row r="5">
      <c r="A5" s="10" t="inlineStr">
        <is>
          <t>Machine Setup</t>
        </is>
      </c>
      <c r="B5" s="11" t="n">
        <v>2000</v>
      </c>
      <c r="C5" s="10" t="n">
        <v>10</v>
      </c>
    </row>
    <row r="6">
      <c r="A6" s="10" t="inlineStr">
        <is>
          <t>Inspection</t>
        </is>
      </c>
      <c r="B6" s="11" t="n">
        <v>200</v>
      </c>
      <c r="C6" s="10" t="n">
        <v>150</v>
      </c>
    </row>
    <row r="8">
      <c r="A8" s="7" t="inlineStr">
        <is>
          <t>CALCULATIONS</t>
        </is>
      </c>
    </row>
    <row r="9">
      <c r="A9" t="inlineStr">
        <is>
          <t>Step 1: Setup Cost = Usage × Rate</t>
        </is>
      </c>
    </row>
    <row r="10">
      <c r="A10" t="inlineStr">
        <is>
          <t>Calculation</t>
        </is>
      </c>
      <c r="B10" s="12">
        <f>C5*B5</f>
        <v/>
      </c>
    </row>
    <row r="12">
      <c r="A12" t="inlineStr">
        <is>
          <t>Step 2: Inspection Cost = Usage × Rate</t>
        </is>
      </c>
    </row>
    <row r="13">
      <c r="A13" t="inlineStr">
        <is>
          <t>Calculation</t>
        </is>
      </c>
      <c r="B13" s="12">
        <f>C6*B6</f>
        <v/>
      </c>
    </row>
    <row r="15">
      <c r="A15" s="7" t="inlineStr">
        <is>
          <t>RESULT</t>
        </is>
      </c>
    </row>
    <row r="16">
      <c r="A16" s="13" t="inlineStr">
        <is>
          <t>Activity</t>
        </is>
      </c>
      <c r="B16" s="13" t="inlineStr">
        <is>
          <t>Cost</t>
        </is>
      </c>
    </row>
    <row r="17">
      <c r="A17" s="14" t="inlineStr">
        <is>
          <t>Setup Cost</t>
        </is>
      </c>
      <c r="B17" s="15">
        <f>B10</f>
        <v/>
      </c>
    </row>
    <row r="18">
      <c r="A18" s="14" t="inlineStr">
        <is>
          <t>Inspection Cost</t>
        </is>
      </c>
      <c r="B18" s="15">
        <f>B13</f>
        <v/>
      </c>
    </row>
    <row r="19">
      <c r="A19" s="5" t="inlineStr">
        <is>
          <t>Total Overhead</t>
        </is>
      </c>
      <c r="B19" s="16">
        <f>B17+B18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</cols>
  <sheetData>
    <row r="1">
      <c r="A1" s="1" t="inlineStr">
        <is>
          <t>Numerical Example: Machine Setup Cost Allocation</t>
        </is>
      </c>
    </row>
    <row r="3">
      <c r="A3" s="7" t="inlineStr">
        <is>
          <t>GIVEN DATA</t>
        </is>
      </c>
    </row>
    <row r="4">
      <c r="A4" s="13" t="inlineStr">
        <is>
          <t>Particulars</t>
        </is>
      </c>
      <c r="B4" s="13" t="inlineStr">
        <is>
          <t>Value</t>
        </is>
      </c>
    </row>
    <row r="5">
      <c r="A5" s="10" t="inlineStr">
        <is>
          <t>Machine Setup Cost (Total Overhead)</t>
        </is>
      </c>
      <c r="B5" s="11" t="n">
        <v>360000</v>
      </c>
    </row>
    <row r="6">
      <c r="A6" s="10" t="inlineStr">
        <is>
          <t>Total Machine Setups</t>
        </is>
      </c>
      <c r="B6" s="10" t="n">
        <v>180</v>
      </c>
    </row>
    <row r="7">
      <c r="A7" s="10" t="inlineStr">
        <is>
          <t>Product X Machine Setups</t>
        </is>
      </c>
      <c r="B7" s="10" t="n">
        <v>12</v>
      </c>
    </row>
    <row r="9">
      <c r="A9" s="7" t="inlineStr">
        <is>
          <t>SOLUTION</t>
        </is>
      </c>
    </row>
    <row r="10">
      <c r="A10" s="7" t="inlineStr">
        <is>
          <t>Step 1: Cost Driver Rate</t>
        </is>
      </c>
    </row>
    <row r="11">
      <c r="A11" t="inlineStr">
        <is>
          <t>Formula: Total Cost ÷ Total Activity</t>
        </is>
      </c>
    </row>
    <row r="12">
      <c r="A12" s="17" t="inlineStr">
        <is>
          <t>Cost Driver Rate</t>
        </is>
      </c>
      <c r="B12" s="18">
        <f>B5/B6</f>
        <v/>
      </c>
    </row>
    <row r="14">
      <c r="A14" s="7" t="inlineStr">
        <is>
          <t>Step 2: Overhead Allocated to Product X</t>
        </is>
      </c>
    </row>
    <row r="15">
      <c r="A15" t="inlineStr">
        <is>
          <t>Formula: Rate × Product X Activity</t>
        </is>
      </c>
    </row>
    <row r="16">
      <c r="A16" s="5" t="inlineStr">
        <is>
          <t>Overhead Allocated</t>
        </is>
      </c>
      <c r="B16" s="16">
        <f>B12*B7</f>
        <v/>
      </c>
    </row>
    <row r="18">
      <c r="A18" s="7" t="inlineStr">
        <is>
          <t>ANSWER</t>
        </is>
      </c>
    </row>
    <row r="19">
      <c r="A19" s="13" t="inlineStr">
        <is>
          <t>Particulars</t>
        </is>
      </c>
      <c r="B19" s="13" t="inlineStr">
        <is>
          <t>Amount</t>
        </is>
      </c>
    </row>
    <row r="20">
      <c r="A20" s="14" t="inlineStr">
        <is>
          <t>1. Cost Driver Rate</t>
        </is>
      </c>
      <c r="B20" s="19">
        <f>B12</f>
        <v/>
      </c>
    </row>
    <row r="21">
      <c r="A21" s="5" t="inlineStr">
        <is>
          <t>2. Overhead Allocated to Product X</t>
        </is>
      </c>
      <c r="B21" s="16">
        <f>B16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2026-09-26T09:37:58Z</dcterms:created>
  <dcterms:modified xmlns:dcterms="http://purl.org/dc/terms/" xmlns:xsi="http://www.w3.org/2001/XMLSchema-instance" xsi:type="dcterms:W3CDTF">2026-09-26T09:37:58Z</dcterms:modified>
</cp:coreProperties>
</file>