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darshahebbar/Documents/saathi/"/>
    </mc:Choice>
  </mc:AlternateContent>
  <xr:revisionPtr revIDLastSave="0" documentId="13_ncr:1_{489219ED-F449-2949-9E9D-D6892A533C33}" xr6:coauthVersionLast="47" xr6:coauthVersionMax="47" xr10:uidLastSave="{00000000-0000-0000-0000-000000000000}"/>
  <bookViews>
    <workbookView xWindow="0" yWindow="660" windowWidth="34560" windowHeight="20720" activeTab="5" xr2:uid="{00000000-000D-0000-FFFF-FFFF00000000}"/>
  </bookViews>
  <sheets>
    <sheet name="Cover" sheetId="1" r:id="rId1"/>
    <sheet name="Data" sheetId="3" r:id="rId2"/>
    <sheet name="Q1-Solution" sheetId="4" r:id="rId3"/>
    <sheet name="Q2-RegionAnalysis" sheetId="5" r:id="rId4"/>
    <sheet name="Q4-DiscountFormulas" sheetId="6" r:id="rId5"/>
    <sheet name="Q3-PivotAnalysis" sheetId="7" r:id="rId6"/>
  </sheets>
  <calcPr calcId="181029"/>
  <pivotCaches>
    <pivotCache cacheId="5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E29" i="6" s="1"/>
  <c r="B32" i="6" s="1"/>
  <c r="D5" i="6"/>
  <c r="D29" i="6" s="1"/>
  <c r="B31" i="6" s="1"/>
  <c r="B20" i="5"/>
  <c r="B19" i="5"/>
  <c r="B18" i="5"/>
  <c r="B17" i="5"/>
  <c r="B9" i="5"/>
  <c r="B8" i="5"/>
  <c r="B7" i="5"/>
  <c r="B6" i="5"/>
  <c r="B24" i="4"/>
  <c r="B19" i="4"/>
  <c r="B14" i="4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B48" i="7" s="1"/>
  <c r="F35" i="7"/>
  <c r="B47" i="7" s="1"/>
  <c r="B22" i="5" l="1"/>
  <c r="D22" i="5"/>
  <c r="B11" i="5"/>
  <c r="D11" i="5"/>
</calcChain>
</file>

<file path=xl/sharedStrings.xml><?xml version="1.0" encoding="utf-8"?>
<sst xmlns="http://schemas.openxmlformats.org/spreadsheetml/2006/main" count="345" uniqueCount="180">
  <si>
    <t>Question 3: Pivot Table Analysis (6 Marks)</t>
  </si>
  <si>
    <t>Q3.1: Only one person has sold two items. Who is that person?</t>
  </si>
  <si>
    <t>Row Labels</t>
  </si>
  <si>
    <t>Count of Item</t>
  </si>
  <si>
    <t>Christine Davies</t>
  </si>
  <si>
    <t>Christopher Cresswell</t>
  </si>
  <si>
    <t>Danny Brooks</t>
  </si>
  <si>
    <t>David Shiner</t>
  </si>
  <si>
    <t>David Walker</t>
  </si>
  <si>
    <t>Delia Muhammad</t>
  </si>
  <si>
    <t>Edward Khan</t>
  </si>
  <si>
    <t>Francis Godden</t>
  </si>
  <si>
    <t>Gary Reynolds</t>
  </si>
  <si>
    <t>Gary Shaw</t>
  </si>
  <si>
    <t>Gillian Allnutt</t>
  </si>
  <si>
    <t>James Ricketts</t>
  </si>
  <si>
    <t>John Jenkins</t>
  </si>
  <si>
    <t>Kenneth Walter</t>
  </si>
  <si>
    <t>Lesleyann Pope</t>
  </si>
  <si>
    <t>Mark Buntain</t>
  </si>
  <si>
    <t>May Wilmot</t>
  </si>
  <si>
    <t>Nicholas Holloway</t>
  </si>
  <si>
    <t>Richard Allnutt</t>
  </si>
  <si>
    <t>Robin Hall</t>
  </si>
  <si>
    <t>Susan Dixon</t>
  </si>
  <si>
    <t>Tessa Morrow</t>
  </si>
  <si>
    <t>Thomas Gordon</t>
  </si>
  <si>
    <t>Grand Total</t>
  </si>
  <si>
    <t>ANSWER 3.1:Christopher Cresswell(sold 2 items)</t>
  </si>
  <si>
    <t>Q3.2 &amp; Q3.3: Max/Min of List Price and Actual Price by Item</t>
  </si>
  <si>
    <t>Min of Actual Price</t>
  </si>
  <si>
    <t>Max of Actual Price2</t>
  </si>
  <si>
    <t>Min of List Price</t>
  </si>
  <si>
    <t>Max of List Price2</t>
  </si>
  <si>
    <t>List Differs?</t>
  </si>
  <si>
    <t>Actual Differs?</t>
  </si>
  <si>
    <t>Air conditioner</t>
  </si>
  <si>
    <t>Ceiling fan</t>
  </si>
  <si>
    <t>Coffee grinder</t>
  </si>
  <si>
    <t>Dishwasher</t>
  </si>
  <si>
    <t>Iron</t>
  </si>
  <si>
    <t>Microwave</t>
  </si>
  <si>
    <t>Oven</t>
  </si>
  <si>
    <t>Refrigerator</t>
  </si>
  <si>
    <t>Toaster</t>
  </si>
  <si>
    <t>Washing Machine</t>
  </si>
  <si>
    <t>ANSWER 3.2:</t>
  </si>
  <si>
    <t>items differ in List Price</t>
  </si>
  <si>
    <t>ANSWER 3.3:</t>
  </si>
  <si>
    <t>items differ in Actual Price</t>
  </si>
  <si>
    <t>DATASCIENCE TOOL KIT</t>
  </si>
  <si>
    <t>Assignment Solution</t>
  </si>
  <si>
    <t>STUDENT INFORMATION</t>
  </si>
  <si>
    <t>Name:</t>
  </si>
  <si>
    <t>Adarsha Hebbar</t>
  </si>
  <si>
    <t>Email:</t>
  </si>
  <si>
    <t>adarsha.hebbar.k@gmail.com</t>
  </si>
  <si>
    <t>Course:</t>
  </si>
  <si>
    <t>DataScience Tool Kit</t>
  </si>
  <si>
    <t>TABLE OF CONTENTS</t>
  </si>
  <si>
    <t>Sheet</t>
  </si>
  <si>
    <t>Description</t>
  </si>
  <si>
    <t>Data</t>
  </si>
  <si>
    <t>Raw Sales Data</t>
  </si>
  <si>
    <t>Q1-Solution</t>
  </si>
  <si>
    <t>Basic Calculations</t>
  </si>
  <si>
    <t>Q2-RegionAnalysis</t>
  </si>
  <si>
    <t>Region-wise Analysis</t>
  </si>
  <si>
    <t>Q3-PivotAnalysis</t>
  </si>
  <si>
    <t>Pivot Table Analysis (6 Marks)</t>
  </si>
  <si>
    <t>Q4-DiscountFormulas</t>
  </si>
  <si>
    <t>Discount Formulas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</si>
  <si>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</si>
  <si>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</si>
  <si>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</si>
  <si>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</si>
  <si>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</si>
  <si>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</si>
  <si>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</si>
  <si>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</si>
  <si>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</si>
  <si>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Athens</t>
  </si>
  <si>
    <t>Greece</t>
  </si>
  <si>
    <t>EMEA</t>
  </si>
  <si>
    <t>11/7/2017</t>
  </si>
  <si>
    <t>Bangalore</t>
  </si>
  <si>
    <t>India</t>
  </si>
  <si>
    <t>APAC</t>
  </si>
  <si>
    <t>11/13/2018</t>
  </si>
  <si>
    <t>Bangkok</t>
  </si>
  <si>
    <t>Thailand</t>
  </si>
  <si>
    <t>8/21/2014</t>
  </si>
  <si>
    <t>Capetown</t>
  </si>
  <si>
    <t>South Africa</t>
  </si>
  <si>
    <t>4/17/2015</t>
  </si>
  <si>
    <t>Delhi</t>
  </si>
  <si>
    <t>5/30/2014</t>
  </si>
  <si>
    <t>Ho Chi Minh City</t>
  </si>
  <si>
    <t>Vietnam</t>
  </si>
  <si>
    <t>5/24/2015</t>
  </si>
  <si>
    <t>Istanbul</t>
  </si>
  <si>
    <t>Turkey</t>
  </si>
  <si>
    <t>8/14/2018</t>
  </si>
  <si>
    <t>Lima</t>
  </si>
  <si>
    <t>Peru</t>
  </si>
  <si>
    <t>LATAM</t>
  </si>
  <si>
    <t>6/6/2016</t>
  </si>
  <si>
    <t>7/9/2014</t>
  </si>
  <si>
    <t>London</t>
  </si>
  <si>
    <t>UK</t>
  </si>
  <si>
    <t>11/12/2015</t>
  </si>
  <si>
    <t>Moscow</t>
  </si>
  <si>
    <t>Russia</t>
  </si>
  <si>
    <t>6/10/2018</t>
  </si>
  <si>
    <t>Osaka</t>
  </si>
  <si>
    <t>Japan</t>
  </si>
  <si>
    <t>7/23/2016</t>
  </si>
  <si>
    <t>Prague</t>
  </si>
  <si>
    <t>Czech Republic</t>
  </si>
  <si>
    <t>9/28/2017</t>
  </si>
  <si>
    <t>Riyadh</t>
  </si>
  <si>
    <t>Saudi Arabia</t>
  </si>
  <si>
    <t>7/10/2017</t>
  </si>
  <si>
    <t>Sao Paolo</t>
  </si>
  <si>
    <t>Brazil</t>
  </si>
  <si>
    <t>3/4/2017</t>
  </si>
  <si>
    <t>Seattle</t>
  </si>
  <si>
    <t>USA</t>
  </si>
  <si>
    <t>NA</t>
  </si>
  <si>
    <t>2/13/2018</t>
  </si>
  <si>
    <t>Shenzhen</t>
  </si>
  <si>
    <t>China</t>
  </si>
  <si>
    <t>4/25/2016</t>
  </si>
  <si>
    <t>Sydney</t>
  </si>
  <si>
    <t>Australia</t>
  </si>
  <si>
    <t>3/3/2015</t>
  </si>
  <si>
    <t>12/11/2018</t>
  </si>
  <si>
    <t>Tel Aviv</t>
  </si>
  <si>
    <t>Israel</t>
  </si>
  <si>
    <t>6/12/2014</t>
  </si>
  <si>
    <t>Tijuana</t>
  </si>
  <si>
    <t>Mexico</t>
  </si>
  <si>
    <t>7/6/2016</t>
  </si>
  <si>
    <t>9/3/2015</t>
  </si>
  <si>
    <t>Toronto</t>
  </si>
  <si>
    <t>Canada</t>
  </si>
  <si>
    <t>4/23/2015</t>
  </si>
  <si>
    <t>11/3/2014</t>
  </si>
  <si>
    <t>QUESTION 1: Filter 2014, Sort by Region Ascending (6 Marks)</t>
  </si>
  <si>
    <t>Filtered Data: Year = 2014, Sorted by Region (A→Z)</t>
  </si>
  <si>
    <t>Q1.1: How many DISTINCT ITEMS?</t>
  </si>
  <si>
    <t>Items in filtered data:</t>
  </si>
  <si>
    <t>ANSWER 1.1:</t>
  </si>
  <si>
    <t>(5 distinct items)</t>
  </si>
  <si>
    <t>Q1.2: How many DISTINCT REGIONS?</t>
  </si>
  <si>
    <t>Regions in filtered data:</t>
  </si>
  <si>
    <t>ANSWER 1.2:</t>
  </si>
  <si>
    <t>(4 distinct regions)</t>
  </si>
  <si>
    <t>Q1.3: Which is the THIRD COUNTRY?</t>
  </si>
  <si>
    <t>Look at row 3 of filtered data above (row 7 in sheet)</t>
  </si>
  <si>
    <t>ANSWER 1.3:</t>
  </si>
  <si>
    <t>(Israel - from Tel Aviv, EMEA)</t>
  </si>
  <si>
    <t>QUESTION 2: Region Analysis (4 Marks)</t>
  </si>
  <si>
    <t>Q2.1: Sum of Actual Price by Region</t>
  </si>
  <si>
    <t>Sum of Actual Price</t>
  </si>
  <si>
    <t>ANSWER 2.1: Highest Region</t>
  </si>
  <si>
    <t>Value:</t>
  </si>
  <si>
    <t>Q2.2: Average Discount % by Region</t>
  </si>
  <si>
    <t>Average Discount %</t>
  </si>
  <si>
    <t>ANSWER 2.2: Highest Region</t>
  </si>
  <si>
    <t>QUESTION 4: Actual Price After Discount (4 Marks)</t>
  </si>
  <si>
    <t>Seattle Discount %:</t>
  </si>
  <si>
    <t>Formula: Actual Price - (Actual Price × Discount %)</t>
  </si>
  <si>
    <t>After Discount (RELATIVE)</t>
  </si>
  <si>
    <t>After Discount (ABSOLUTE)</t>
  </si>
  <si>
    <t>TOTAL</t>
  </si>
  <si>
    <t>ANSWER 4.1 (Relative):</t>
  </si>
  <si>
    <t>(Expected: 6948.06)</t>
  </si>
  <si>
    <t>ANSWER 4.2 (Absolute):</t>
  </si>
  <si>
    <t>(Expected: 7039.80)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</si>
</sst>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4"/>
      <color rgb="FF0000FF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6"/>
      <color rgb="FF1F4E79"/>
      <name val="Calibri"/>
      <family val="2"/>
    </font>
    <font>
      <i/>
      <sz val="14"/>
      <color rgb="FF2E75B6"/>
      <name val="Calibri"/>
      <family val="2"/>
    </font>
    <font>
      <b/>
      <sz val="13"/>
      <color rgb="FFFFFFFF"/>
      <name val="Calibri"/>
      <family val="2"/>
    </font>
    <font>
      <b/>
      <sz val="11"/>
      <color rgb="FF404040"/>
      <name val="Calibri"/>
      <family val="2"/>
    </font>
    <font>
      <sz val="11"/>
      <color rgb="FF404040"/>
      <name val="Calibri"/>
      <family val="2"/>
    </font>
    <font>
      <b/>
      <sz val="10"/>
      <color rgb="FFFFFFFF"/>
      <name val="Calibri"/>
      <family val="2"/>
    </font>
    <font>
      <b/>
      <sz val="10"/>
      <color rgb="FF2E75B6"/>
      <name val="Calibri"/>
      <family val="2"/>
    </font>
    <font>
      <sz val="10"/>
      <color rgb="FF404040"/>
      <name val="Calibri"/>
      <family val="2"/>
    </font>
    <font>
      <b/>
      <sz val="11"/>
      <color rgb="FFFFFFFF"/>
      <name val="Calibri"/>
      <family val="2"/>
    </font>
    <font>
      <b/>
      <sz val="11"/>
      <color rgb="FF375623"/>
      <name val="Calibri"/>
      <family val="2"/>
    </font>
    <font>
      <b/>
      <sz val="14"/>
      <color rgb="FFFFFFFF"/>
      <name val="Calibri"/>
      <family val="2"/>
    </font>
    <font>
      <b/>
      <sz val="11"/>
      <color rgb="FF2E75B6"/>
      <name val="Calibri"/>
      <family val="2"/>
    </font>
    <font>
      <b/>
      <sz val="10"/>
      <color rgb="FF375623"/>
      <name val="Calibri"/>
      <family val="2"/>
    </font>
    <font>
      <b/>
      <sz val="10"/>
      <color rgb="FFC00000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rgb="FF375623"/>
      <name val="Calibri"/>
      <family val="2"/>
    </font>
    <font>
      <b/>
      <sz val="14"/>
      <color rgb="FF375623"/>
      <name val="Calibri"/>
      <family val="2"/>
    </font>
    <font>
      <i/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2E75B6"/>
        <bgColor rgb="FF2E75B6"/>
      </patternFill>
    </fill>
    <fill>
      <patternFill patternType="solid">
        <fgColor rgb="FFFFCCCB"/>
        <bgColor rgb="FFFFCCCB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rgb="FF2E75B6"/>
      </patternFill>
    </fill>
    <fill>
      <patternFill patternType="solid">
        <fgColor rgb="FFC6EFCE"/>
        <bgColor rgb="FFC6EF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2"/>
  </cellStyleXfs>
  <cellXfs count="51">
    <xf numFmtId="0" fontId="0" fillId="0" borderId="0" xfId="0" applyBorder="1"/>
    <xf numFmtId="0" fontId="1" fillId="2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2" fillId="0" borderId="0" xfId="0" applyFont="1" applyBorder="1"/>
    <xf numFmtId="0" fontId="3" fillId="0" borderId="0" xfId="0" applyFont="1" applyBorder="1"/>
    <xf numFmtId="10" fontId="0" fillId="0" borderId="0" xfId="0" applyNumberFormat="1" applyBorder="1"/>
    <xf numFmtId="10" fontId="0" fillId="3" borderId="0" xfId="0" applyNumberFormat="1" applyFill="1" applyBorder="1"/>
    <xf numFmtId="4" fontId="0" fillId="0" borderId="1" xfId="0" applyNumberFormat="1" applyBorder="1"/>
    <xf numFmtId="4" fontId="0" fillId="3" borderId="0" xfId="0" applyNumberFormat="1" applyFill="1" applyBorder="1"/>
    <xf numFmtId="0" fontId="4" fillId="0" borderId="2" xfId="0" applyFont="1"/>
    <xf numFmtId="0" fontId="0" fillId="0" borderId="2" xfId="0"/>
    <xf numFmtId="0" fontId="5" fillId="0" borderId="2" xfId="0" applyFont="1"/>
    <xf numFmtId="0" fontId="4" fillId="0" borderId="2" xfId="0" applyFont="1" applyAlignment="1">
      <alignment horizontal="center" wrapText="1"/>
    </xf>
    <xf numFmtId="3" fontId="4" fillId="0" borderId="2" xfId="0" applyNumberFormat="1" applyFont="1"/>
    <xf numFmtId="0" fontId="6" fillId="2" borderId="1" xfId="0" applyFont="1" applyFill="1" applyBorder="1"/>
    <xf numFmtId="0" fontId="7" fillId="0" borderId="2" xfId="0" applyFont="1" applyAlignment="1">
      <alignment horizontal="left" vertical="center"/>
    </xf>
    <xf numFmtId="0" fontId="8" fillId="0" borderId="2" xfId="0" applyFont="1" applyAlignment="1">
      <alignment horizontal="center"/>
    </xf>
    <xf numFmtId="0" fontId="4" fillId="8" borderId="2" xfId="0" applyFont="1" applyFill="1" applyAlignment="1">
      <alignment horizontal="center"/>
    </xf>
    <xf numFmtId="0" fontId="4" fillId="8" borderId="2" xfId="0" applyFont="1" applyFill="1"/>
    <xf numFmtId="0" fontId="9" fillId="8" borderId="2" xfId="0" applyFont="1" applyFill="1" applyAlignment="1">
      <alignment horizontal="center" vertical="center"/>
    </xf>
    <xf numFmtId="0" fontId="4" fillId="0" borderId="2" xfId="0" applyFont="1" applyAlignment="1">
      <alignment horizontal="center"/>
    </xf>
    <xf numFmtId="0" fontId="10" fillId="0" borderId="2" xfId="0" applyFont="1" applyAlignment="1">
      <alignment horizontal="right"/>
    </xf>
    <xf numFmtId="0" fontId="11" fillId="7" borderId="3" xfId="0" applyFont="1" applyFill="1" applyBorder="1"/>
    <xf numFmtId="0" fontId="9" fillId="8" borderId="2" xfId="0" applyFont="1" applyFill="1"/>
    <xf numFmtId="0" fontId="12" fillId="5" borderId="3" xfId="0" applyFont="1" applyFill="1" applyBorder="1"/>
    <xf numFmtId="0" fontId="13" fillId="9" borderId="3" xfId="0" applyFont="1" applyFill="1" applyBorder="1"/>
    <xf numFmtId="0" fontId="14" fillId="9" borderId="3" xfId="0" applyFont="1" applyFill="1" applyBorder="1"/>
    <xf numFmtId="0" fontId="13" fillId="10" borderId="3" xfId="0" applyFont="1" applyFill="1" applyBorder="1"/>
    <xf numFmtId="0" fontId="14" fillId="10" borderId="3" xfId="0" applyFont="1" applyFill="1" applyBorder="1"/>
    <xf numFmtId="0" fontId="15" fillId="8" borderId="3" xfId="0" applyFont="1" applyFill="1" applyBorder="1" applyAlignment="1">
      <alignment horizontal="center" vertical="center"/>
    </xf>
    <xf numFmtId="10" fontId="14" fillId="10" borderId="3" xfId="0" applyNumberFormat="1" applyFont="1" applyFill="1" applyBorder="1"/>
    <xf numFmtId="10" fontId="14" fillId="9" borderId="3" xfId="0" applyNumberFormat="1" applyFont="1" applyFill="1" applyBorder="1"/>
    <xf numFmtId="0" fontId="16" fillId="4" borderId="4" xfId="0" applyFont="1" applyFill="1" applyBorder="1"/>
    <xf numFmtId="10" fontId="16" fillId="4" borderId="4" xfId="0" applyNumberFormat="1" applyFont="1" applyFill="1" applyBorder="1"/>
    <xf numFmtId="4" fontId="16" fillId="4" borderId="4" xfId="0" applyNumberFormat="1" applyFont="1" applyFill="1" applyBorder="1"/>
    <xf numFmtId="0" fontId="17" fillId="8" borderId="2" xfId="0" applyFont="1" applyFill="1" applyAlignment="1">
      <alignment horizontal="left"/>
    </xf>
    <xf numFmtId="0" fontId="18" fillId="0" borderId="2" xfId="0" applyFont="1"/>
    <xf numFmtId="0" fontId="19" fillId="4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11" borderId="0" xfId="0" applyFill="1" applyBorder="1"/>
    <xf numFmtId="0" fontId="0" fillId="13" borderId="0" xfId="0" applyFill="1" applyBorder="1" applyAlignment="1">
      <alignment horizontal="left"/>
    </xf>
    <xf numFmtId="0" fontId="0" fillId="13" borderId="0" xfId="0" applyFill="1" applyBorder="1"/>
    <xf numFmtId="0" fontId="21" fillId="14" borderId="3" xfId="0" applyFont="1" applyFill="1" applyBorder="1" applyAlignment="1">
      <alignment horizontal="center" wrapText="1"/>
    </xf>
    <xf numFmtId="0" fontId="22" fillId="14" borderId="3" xfId="0" applyFont="1" applyFill="1" applyBorder="1" applyAlignment="1">
      <alignment horizontal="center" wrapText="1"/>
    </xf>
    <xf numFmtId="0" fontId="23" fillId="0" borderId="2" xfId="0" applyFont="1"/>
    <xf numFmtId="0" fontId="24" fillId="15" borderId="6" xfId="0" applyFont="1" applyFill="1" applyBorder="1" applyAlignment="1">
      <alignment horizontal="center"/>
    </xf>
    <xf numFmtId="0" fontId="25" fillId="0" borderId="2" xfId="0" applyFont="1"/>
    <xf numFmtId="0" fontId="16" fillId="12" borderId="5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8"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a Hebbar" refreshedDate="46293.798031597224" createdVersion="8" refreshedVersion="8" minRefreshableVersion="3" recordCount="24" xr:uid="{00000000-000A-0000-FFFF-FFFF33000000}">
  <cacheSource type="worksheet">
    <worksheetSource ref="A1:I25" sheet="Data"/>
  </cacheSource>
  <cacheFields count="9">
    <cacheField name="Store" numFmtId="0">
      <sharedItems/>
    </cacheField>
    <cacheField name="Country" numFmtId="0">
      <sharedItems/>
    </cacheField>
    <cacheField name="Region" numFmtId="0">
      <sharedItems/>
    </cacheField>
    <cacheField name="Date" numFmtId="0">
      <sharedItems/>
    </cacheField>
    <cacheField name="Item" numFmtId="0">
      <sharedItems count="10">
        <s v="Oven"/>
        <s v="Coffee grinder"/>
        <s v="Air conditioner"/>
        <s v="Iron"/>
        <s v="Microwave"/>
        <s v="Ceiling fan"/>
        <s v="Dishwasher"/>
        <s v="Washing Machine"/>
        <s v="Refrigerator"/>
        <s v="Toaster"/>
      </sharedItems>
    </cacheField>
    <cacheField name="Salesperson" numFmtId="0">
      <sharedItems count="23">
        <s v="David Walker"/>
        <s v="Delia Muhammad"/>
        <s v="John Jenkins"/>
        <s v="Nicholas Holloway"/>
        <s v="Tessa Morrow"/>
        <s v="Susan Dixon"/>
        <s v="Mark Buntain"/>
        <s v="Christopher Cresswell"/>
        <s v="Francis Godden"/>
        <s v="May Wilmot"/>
        <s v="Kenneth Walter"/>
        <s v="Edward Khan"/>
        <s v="Danny Brooks"/>
        <s v="Gary Reynolds"/>
        <s v="Lesleyann Pope"/>
        <s v="Gary Shaw"/>
        <s v="Christine Davies"/>
        <s v="James Ricketts"/>
        <s v="Thomas Gordon"/>
        <s v="Gillian Allnutt"/>
        <s v="Richard Allnutt"/>
        <s v="David Shiner"/>
        <s v="Robin Hall"/>
      </sharedItems>
    </cacheField>
    <cacheField name="List Price" numFmtId="0">
      <sharedItems containsSemiMixedTypes="0" containsString="0" containsNumber="1" containsInteger="1" minValue="30" maxValue="1000"/>
    </cacheField>
    <cacheField name="Actual Price" numFmtId="0">
      <sharedItems containsSemiMixedTypes="0" containsString="0" containsNumber="1" containsInteger="1" minValue="22" maxValue="950"/>
    </cacheField>
    <cacheField name="Discount %" numFmtId="10">
      <sharedItems containsSemiMixedTypes="0" containsString="0" containsNumber="1" minValue="0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4">
  <r>
    <s v="Athens"/>
    <s v="Greece"/>
    <s v="EMEA"/>
    <s v="11/7/2017"/>
    <x v="0"/>
    <x v="0"/>
    <n v="500"/>
    <n v="500"/>
    <n v="0"/>
  </r>
  <r>
    <s v="Bangalore"/>
    <s v="India"/>
    <s v="APAC"/>
    <s v="11/13/2018"/>
    <x v="1"/>
    <x v="1"/>
    <n v="70"/>
    <n v="67"/>
    <n v="0.0429"/>
  </r>
  <r>
    <s v="Bangkok"/>
    <s v="Thailand"/>
    <s v="APAC"/>
    <s v="8/21/2014"/>
    <x v="2"/>
    <x v="2"/>
    <n v="700"/>
    <n v="679"/>
    <n v="0.03"/>
  </r>
  <r>
    <s v="Capetown"/>
    <s v="South Africa"/>
    <s v="EMEA"/>
    <s v="4/17/2015"/>
    <x v="3"/>
    <x v="3"/>
    <n v="30"/>
    <n v="22"/>
    <n v="0.2667"/>
  </r>
  <r>
    <s v="Delhi"/>
    <s v="India"/>
    <s v="APAC"/>
    <s v="5/30/2014"/>
    <x v="0"/>
    <x v="4"/>
    <n v="500"/>
    <n v="490"/>
    <n v="0.02"/>
  </r>
  <r>
    <s v="Ho Chi Minh City"/>
    <s v="Vietnam"/>
    <s v="APAC"/>
    <s v="5/24/2015"/>
    <x v="4"/>
    <x v="5"/>
    <n v="80"/>
    <n v="78"/>
    <n v="0.025"/>
  </r>
  <r>
    <s v="Istanbul"/>
    <s v="Turkey"/>
    <s v="EMEA"/>
    <s v="8/14/2018"/>
    <x v="5"/>
    <x v="6"/>
    <n v="150"/>
    <n v="137"/>
    <n v="0.0867"/>
  </r>
  <r>
    <s v="Lima"/>
    <s v="Peru"/>
    <s v="LATAM"/>
    <s v="6/6/2016"/>
    <x v="6"/>
    <x v="7"/>
    <n v="500"/>
    <n v="465"/>
    <n v="0.07000000000000001"/>
  </r>
  <r>
    <s v="Lima"/>
    <s v="Peru"/>
    <s v="LATAM"/>
    <s v="7/9/2014"/>
    <x v="3"/>
    <x v="7"/>
    <n v="30"/>
    <n v="28"/>
    <n v="0.0667"/>
  </r>
  <r>
    <s v="London"/>
    <s v="UK"/>
    <s v="EMEA"/>
    <s v="11/12/2015"/>
    <x v="7"/>
    <x v="8"/>
    <n v="800"/>
    <n v="760"/>
    <n v="0.05"/>
  </r>
  <r>
    <s v="Moscow"/>
    <s v="Russia"/>
    <s v="EMEA"/>
    <s v="6/10/2018"/>
    <x v="4"/>
    <x v="9"/>
    <n v="80"/>
    <n v="79"/>
    <n v="0.0125"/>
  </r>
  <r>
    <s v="Osaka"/>
    <s v="Japan"/>
    <s v="APAC"/>
    <s v="7/23/2016"/>
    <x v="8"/>
    <x v="10"/>
    <n v="1000"/>
    <n v="950"/>
    <n v="0.05"/>
  </r>
  <r>
    <s v="Prague"/>
    <s v="Czech Republic"/>
    <s v="EMEA"/>
    <s v="9/28/2017"/>
    <x v="7"/>
    <x v="11"/>
    <n v="800"/>
    <n v="736"/>
    <n v="0.08"/>
  </r>
  <r>
    <s v="Riyadh"/>
    <s v="Saudi Arabia"/>
    <s v="EMEA"/>
    <s v="7/10/2017"/>
    <x v="8"/>
    <x v="12"/>
    <n v="1000"/>
    <n v="500"/>
    <n v="0.5"/>
  </r>
  <r>
    <s v="Sao Paolo"/>
    <s v="Brazil"/>
    <s v="LATAM"/>
    <s v="3/4/2017"/>
    <x v="2"/>
    <x v="13"/>
    <n v="700"/>
    <n v="686"/>
    <n v="0.02"/>
  </r>
  <r>
    <s v="Seattle"/>
    <s v="USA"/>
    <s v="NA"/>
    <s v="2/13/2018"/>
    <x v="3"/>
    <x v="14"/>
    <n v="30"/>
    <n v="27"/>
    <n v="0.1"/>
  </r>
  <r>
    <s v="Shenzhen"/>
    <s v="China"/>
    <s v="APAC"/>
    <s v="4/25/2016"/>
    <x v="3"/>
    <x v="15"/>
    <n v="30"/>
    <n v="29"/>
    <n v="0.0333"/>
  </r>
  <r>
    <s v="Sydney"/>
    <s v="Australia"/>
    <s v="APAC"/>
    <s v="3/3/2015"/>
    <x v="9"/>
    <x v="16"/>
    <n v="50"/>
    <n v="37"/>
    <n v="0.26"/>
  </r>
  <r>
    <s v="Sydney"/>
    <s v="Australia"/>
    <s v="APAC"/>
    <s v="12/11/2018"/>
    <x v="7"/>
    <x v="17"/>
    <n v="800"/>
    <n v="672"/>
    <n v="0.16"/>
  </r>
  <r>
    <s v="Tel Aviv"/>
    <s v="Israel"/>
    <s v="EMEA"/>
    <s v="6/12/2014"/>
    <x v="8"/>
    <x v="18"/>
    <n v="1000"/>
    <n v="620"/>
    <n v="0.38"/>
  </r>
  <r>
    <s v="Tijuana"/>
    <s v="Mexico"/>
    <s v="LATAM"/>
    <s v="7/6/2016"/>
    <x v="3"/>
    <x v="19"/>
    <n v="30"/>
    <n v="28"/>
    <n v="0.0667"/>
  </r>
  <r>
    <s v="Tijuana"/>
    <s v="Mexico"/>
    <s v="LATAM"/>
    <s v="9/3/2015"/>
    <x v="3"/>
    <x v="20"/>
    <n v="30"/>
    <n v="28"/>
    <n v="0.0667"/>
  </r>
  <r>
    <s v="Toronto"/>
    <s v="Canada"/>
    <s v="NA"/>
    <s v="4/23/2015"/>
    <x v="4"/>
    <x v="21"/>
    <n v="80"/>
    <n v="54"/>
    <n v="0.325"/>
  </r>
  <r>
    <s v="Toronto"/>
    <s v="Canada"/>
    <s v="NA"/>
    <s v="11/3/2014"/>
    <x v="5"/>
    <x v="22"/>
    <n v="150"/>
    <n v="15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17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9">
    <pivotField showAll="0"/>
    <pivotField showAll="0"/>
    <pivotField showAll="0"/>
    <pivotField showAll="0"/>
    <pivotField dataField="1" showAll="0">
      <items count="11">
        <item x="2"/>
        <item x="5"/>
        <item x="1"/>
        <item x="6"/>
        <item x="3"/>
        <item x="4"/>
        <item x="0"/>
        <item x="8"/>
        <item x="9"/>
        <item x="7"/>
        <item t="default"/>
      </items>
    </pivotField>
    <pivotField axis="axisRow" showAll="0">
      <items count="24">
        <item x="16"/>
        <item x="7"/>
        <item x="12"/>
        <item x="21"/>
        <item x="0"/>
        <item x="1"/>
        <item x="11"/>
        <item x="8"/>
        <item x="13"/>
        <item x="15"/>
        <item x="19"/>
        <item x="17"/>
        <item x="2"/>
        <item x="10"/>
        <item x="14"/>
        <item x="6"/>
        <item x="9"/>
        <item x="3"/>
        <item x="20"/>
        <item x="22"/>
        <item x="5"/>
        <item x="4"/>
        <item x="18"/>
        <item t="default"/>
      </items>
    </pivotField>
    <pivotField showAll="0"/>
    <pivotField showAll="0"/>
    <pivotField numFmtId="10" showAl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Item" fld="4" subtotal="count" baseField="0" baseItem="0"/>
  </dataFields>
  <formats count="6">
    <format dxfId="5">
      <pivotArea collapsedLevelsAreSubtotals="1" fieldPosition="0">
        <references count="1">
          <reference field="5" count="1">
            <x v="1"/>
          </reference>
        </references>
      </pivotArea>
    </format>
    <format dxfId="4">
      <pivotArea dataOnly="0" labelOnly="1" fieldPosition="0">
        <references count="1">
          <reference field="5" count="1">
            <x v="1"/>
          </reference>
        </references>
      </pivotArea>
    </format>
    <format dxfId="3">
      <pivotArea field="5" type="button" dataOnly="0" labelOnly="1" outline="0" axis="axisRow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5" count="1">
            <x v="1"/>
          </reference>
        </references>
      </pivotArea>
    </format>
    <format dxfId="0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E45" firstHeaderRow="0" firstDataRow="1" firstDataCol="1"/>
  <pivotFields count="9">
    <pivotField showAll="0"/>
    <pivotField showAll="0"/>
    <pivotField showAll="0"/>
    <pivotField showAll="0"/>
    <pivotField axis="axisRow" showAll="0">
      <items count="11">
        <item x="2"/>
        <item x="5"/>
        <item x="1"/>
        <item x="6"/>
        <item x="3"/>
        <item x="4"/>
        <item x="0"/>
        <item x="8"/>
        <item x="9"/>
        <item x="7"/>
        <item t="default"/>
      </items>
    </pivotField>
    <pivotField showAll="0">
      <items count="24">
        <item x="16"/>
        <item x="7"/>
        <item x="12"/>
        <item x="21"/>
        <item x="0"/>
        <item x="1"/>
        <item x="11"/>
        <item x="8"/>
        <item x="13"/>
        <item x="15"/>
        <item x="19"/>
        <item x="17"/>
        <item x="2"/>
        <item x="10"/>
        <item x="14"/>
        <item x="6"/>
        <item x="9"/>
        <item x="3"/>
        <item x="20"/>
        <item x="22"/>
        <item x="5"/>
        <item x="4"/>
        <item x="18"/>
        <item t="default"/>
      </items>
    </pivotField>
    <pivotField dataField="1" showAll="0"/>
    <pivotField dataField="1" showAll="0"/>
    <pivotField numFmtId="1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Actual Price" fld="7" subtotal="min" baseField="0" baseItem="0"/>
    <dataField name="Max of Actual Price2" fld="7" subtotal="max" baseField="0" baseItem="0"/>
    <dataField name="Min of List Price" fld="6" subtotal="min" baseField="0" baseItem="0"/>
    <dataField name="Max of List Price2" fld="6" subtotal="max" baseField="0" baseItem="0"/>
  </dataFields>
  <formats count="2">
    <format dxfId="7">
      <pivotArea field="4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/>
  </sheetViews>
  <sheetFormatPr baseColWidth="10" defaultColWidth="8.83203125" defaultRowHeight="15" x14ac:dyDescent="0.2"/>
  <cols>
    <col min="1" max="1" width="3" customWidth="1"/>
    <col min="2" max="2" width="20" customWidth="1"/>
    <col min="3" max="3" width="32" customWidth="1"/>
    <col min="4" max="4" width="12" customWidth="1"/>
    <col min="5" max="5" width="15" customWidth="1"/>
  </cols>
  <sheetData>
    <row r="1" spans="1:7" x14ac:dyDescent="0.2">
      <c r="A1" s="10"/>
      <c r="B1" s="10"/>
      <c r="C1" s="10"/>
      <c r="D1" s="10"/>
      <c r="E1" s="10"/>
      <c r="F1" s="10"/>
      <c r="G1" s="10"/>
    </row>
    <row r="2" spans="1:7" ht="34" customHeight="1" x14ac:dyDescent="0.2">
      <c r="A2" s="10"/>
      <c r="B2" s="16" t="s">
        <v>50</v>
      </c>
      <c r="C2" s="10"/>
      <c r="D2" s="10"/>
      <c r="E2" s="10"/>
      <c r="F2" s="10"/>
      <c r="G2" s="10"/>
    </row>
    <row r="3" spans="1:7" ht="19" customHeight="1" x14ac:dyDescent="0.25">
      <c r="A3" s="10"/>
      <c r="B3" s="17" t="s">
        <v>51</v>
      </c>
      <c r="C3" s="10"/>
      <c r="D3" s="10"/>
      <c r="E3" s="10"/>
      <c r="F3" s="10"/>
      <c r="G3" s="10"/>
    </row>
    <row r="4" spans="1:7" x14ac:dyDescent="0.2">
      <c r="A4" s="10"/>
      <c r="B4" s="10"/>
      <c r="C4" s="10"/>
      <c r="D4" s="10"/>
      <c r="E4" s="10"/>
      <c r="F4" s="10"/>
      <c r="G4" s="10"/>
    </row>
    <row r="5" spans="1:7" ht="5" customHeight="1" x14ac:dyDescent="0.2">
      <c r="A5" s="10"/>
      <c r="B5" s="18"/>
      <c r="C5" s="19"/>
      <c r="D5" s="19"/>
      <c r="E5" s="19"/>
      <c r="F5" s="10"/>
      <c r="G5" s="10"/>
    </row>
    <row r="6" spans="1:7" x14ac:dyDescent="0.2">
      <c r="A6" s="10"/>
      <c r="B6" s="10"/>
      <c r="C6" s="10"/>
      <c r="D6" s="10"/>
      <c r="E6" s="10"/>
      <c r="F6" s="10"/>
      <c r="G6" s="10"/>
    </row>
    <row r="7" spans="1:7" ht="28" customHeight="1" x14ac:dyDescent="0.2">
      <c r="A7" s="10"/>
      <c r="B7" s="20" t="s">
        <v>52</v>
      </c>
      <c r="C7" s="19"/>
      <c r="D7" s="19"/>
      <c r="E7" s="10"/>
      <c r="F7" s="10"/>
      <c r="G7" s="10"/>
    </row>
    <row r="8" spans="1:7" x14ac:dyDescent="0.2">
      <c r="A8" s="10"/>
      <c r="B8" s="21"/>
      <c r="C8" s="10"/>
      <c r="D8" s="10"/>
      <c r="E8" s="10"/>
      <c r="F8" s="10"/>
      <c r="G8" s="10"/>
    </row>
    <row r="9" spans="1:7" ht="22" customHeight="1" x14ac:dyDescent="0.2">
      <c r="A9" s="10"/>
      <c r="B9" s="22" t="s">
        <v>53</v>
      </c>
      <c r="C9" s="23" t="s">
        <v>54</v>
      </c>
      <c r="D9" s="10"/>
      <c r="E9" s="10"/>
      <c r="F9" s="10"/>
      <c r="G9" s="10"/>
    </row>
    <row r="10" spans="1:7" ht="22" customHeight="1" x14ac:dyDescent="0.2">
      <c r="A10" s="10"/>
      <c r="B10" s="22" t="s">
        <v>55</v>
      </c>
      <c r="C10" s="23" t="s">
        <v>56</v>
      </c>
      <c r="D10" s="10"/>
      <c r="E10" s="10"/>
      <c r="F10" s="10"/>
      <c r="G10" s="10"/>
    </row>
    <row r="11" spans="1:7" ht="22" customHeight="1" x14ac:dyDescent="0.2">
      <c r="A11" s="10"/>
      <c r="B11" s="22" t="s">
        <v>57</v>
      </c>
      <c r="C11" s="23" t="s">
        <v>58</v>
      </c>
      <c r="D11" s="10"/>
      <c r="E11" s="10"/>
      <c r="F11" s="10"/>
      <c r="G11" s="10"/>
    </row>
    <row r="12" spans="1:7" x14ac:dyDescent="0.2">
      <c r="A12" s="10"/>
      <c r="B12" s="10"/>
      <c r="C12" s="10"/>
      <c r="D12" s="10"/>
      <c r="E12" s="10"/>
      <c r="F12" s="10"/>
      <c r="G12" s="10"/>
    </row>
    <row r="13" spans="1:7" x14ac:dyDescent="0.2">
      <c r="A13" s="10"/>
      <c r="B13" s="10"/>
      <c r="C13" s="10"/>
      <c r="D13" s="10"/>
      <c r="E13" s="10"/>
      <c r="F13" s="10"/>
      <c r="G13" s="10"/>
    </row>
    <row r="14" spans="1:7" ht="28" customHeight="1" x14ac:dyDescent="0.2">
      <c r="A14" s="10"/>
      <c r="B14" s="24" t="s">
        <v>59</v>
      </c>
      <c r="C14" s="19"/>
      <c r="D14" s="19"/>
      <c r="E14" s="10"/>
      <c r="F14" s="10"/>
      <c r="G14" s="10"/>
    </row>
    <row r="15" spans="1:7" x14ac:dyDescent="0.2">
      <c r="A15" s="10"/>
      <c r="B15" s="21"/>
      <c r="C15" s="10"/>
      <c r="D15" s="10"/>
      <c r="E15" s="10"/>
      <c r="F15" s="10"/>
      <c r="G15" s="10"/>
    </row>
    <row r="16" spans="1:7" x14ac:dyDescent="0.2">
      <c r="A16" s="10"/>
      <c r="B16" s="25" t="s">
        <v>60</v>
      </c>
      <c r="C16" s="25" t="s">
        <v>61</v>
      </c>
      <c r="D16" s="10"/>
      <c r="E16" s="10"/>
      <c r="F16" s="10"/>
      <c r="G16" s="10"/>
    </row>
    <row r="17" spans="1:7" ht="20" customHeight="1" x14ac:dyDescent="0.2">
      <c r="A17" s="10"/>
      <c r="B17" s="26" t="s">
        <v>62</v>
      </c>
      <c r="C17" s="27" t="s">
        <v>63</v>
      </c>
      <c r="D17" s="10"/>
      <c r="E17" s="10"/>
      <c r="F17" s="10"/>
      <c r="G17" s="10"/>
    </row>
    <row r="18" spans="1:7" ht="20" customHeight="1" x14ac:dyDescent="0.2">
      <c r="A18" s="10"/>
      <c r="B18" s="28" t="s">
        <v>64</v>
      </c>
      <c r="C18" s="29" t="s">
        <v>65</v>
      </c>
      <c r="D18" s="10"/>
      <c r="E18" s="10"/>
      <c r="F18" s="10"/>
      <c r="G18" s="10"/>
    </row>
    <row r="19" spans="1:7" ht="20" customHeight="1" x14ac:dyDescent="0.2">
      <c r="A19" s="10"/>
      <c r="B19" s="26" t="s">
        <v>66</v>
      </c>
      <c r="C19" s="27" t="s">
        <v>67</v>
      </c>
      <c r="D19" s="10"/>
      <c r="E19" s="10"/>
      <c r="F19" s="10"/>
      <c r="G19" s="10"/>
    </row>
    <row r="20" spans="1:7" ht="20" customHeight="1" x14ac:dyDescent="0.2">
      <c r="A20" s="10"/>
      <c r="B20" s="28" t="s">
        <v>68</v>
      </c>
      <c r="C20" s="29" t="s">
        <v>69</v>
      </c>
      <c r="D20" s="10"/>
      <c r="E20" s="10"/>
      <c r="F20" s="10"/>
      <c r="G20" s="10"/>
    </row>
    <row r="21" spans="1:7" ht="20" customHeight="1" x14ac:dyDescent="0.2">
      <c r="A21" s="10"/>
      <c r="B21" s="26" t="s">
        <v>70</v>
      </c>
      <c r="C21" s="27" t="s">
        <v>71</v>
      </c>
      <c r="D21" s="10"/>
      <c r="E21" s="10"/>
      <c r="F21" s="10"/>
      <c r="G21" s="10"/>
    </row>
    <row r="22" spans="1:7" x14ac:dyDescent="0.2">
      <c r="A22" s="10"/>
      <c r="B22" s="10"/>
      <c r="C22" s="10"/>
      <c r="D22" s="10"/>
      <c r="E22" s="10"/>
      <c r="F22" s="10"/>
      <c r="G22" s="10"/>
    </row>
    <row r="23" spans="1:7" x14ac:dyDescent="0.2">
      <c r="A23" s="10"/>
      <c r="B23" s="10"/>
      <c r="C23" s="10"/>
      <c r="D23" s="10"/>
      <c r="E23" s="10"/>
      <c r="F23" s="10"/>
      <c r="G23" s="10"/>
    </row>
    <row r="24" spans="1:7" x14ac:dyDescent="0.2">
      <c r="A24" s="10"/>
      <c r="B24" s="10"/>
      <c r="C24" s="10"/>
      <c r="D24" s="10"/>
      <c r="E24" s="10"/>
      <c r="F24" s="10"/>
      <c r="G24" s="10"/>
    </row>
    <row r="25" spans="1:7" x14ac:dyDescent="0.2">
      <c r="A25" s="10"/>
      <c r="B25" s="10"/>
      <c r="C25" s="10"/>
      <c r="D25" s="10"/>
      <c r="E25" s="10"/>
      <c r="F25" s="10"/>
      <c r="G25" s="10"/>
    </row>
    <row r="26" spans="1:7" x14ac:dyDescent="0.2">
      <c r="A26" s="10"/>
      <c r="B26" s="10"/>
      <c r="C26" s="10"/>
      <c r="D26" s="10"/>
      <c r="E26" s="10"/>
      <c r="F26" s="10"/>
      <c r="G26" s="10"/>
    </row>
    <row r="27" spans="1:7" x14ac:dyDescent="0.2">
      <c r="A27" s="10"/>
      <c r="B27" s="10"/>
      <c r="C27" s="10"/>
      <c r="D27" s="10"/>
      <c r="E27" s="10"/>
      <c r="F27" s="10"/>
      <c r="G27" s="10"/>
    </row>
    <row r="28" spans="1:7" x14ac:dyDescent="0.2">
      <c r="A28" s="10"/>
      <c r="B28" s="10"/>
      <c r="C28" s="10"/>
      <c r="D28" s="10"/>
      <c r="E28" s="10"/>
      <c r="F28" s="10"/>
      <c r="G28" s="10"/>
    </row>
    <row r="29" spans="1:7" x14ac:dyDescent="0.2">
      <c r="A29" s="10"/>
      <c r="B29" s="10"/>
      <c r="C29" s="10"/>
      <c r="D29" s="10"/>
      <c r="E29" s="10"/>
      <c r="F29" s="10"/>
      <c r="G29" s="10"/>
    </row>
    <row r="30" spans="1:7" x14ac:dyDescent="0.2">
      <c r="A30" s="10"/>
      <c r="B30" s="10"/>
      <c r="C30" s="10"/>
      <c r="D30" s="10"/>
      <c r="E30" s="10"/>
      <c r="F30" s="10"/>
      <c r="G30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sqref="A1:I25"/>
    </sheetView>
  </sheetViews>
  <sheetFormatPr baseColWidth="10" defaultColWidth="8.83203125" defaultRowHeight="15" x14ac:dyDescent="0.2"/>
  <cols>
    <col min="1" max="9" width="18" customWidth="1"/>
  </cols>
  <sheetData>
    <row r="1" spans="1:9" ht="25" customHeight="1" x14ac:dyDescent="0.2">
      <c r="A1" s="30" t="s">
        <v>72</v>
      </c>
      <c r="B1" s="30" t="s">
        <v>73</v>
      </c>
      <c r="C1" s="30" t="s">
        <v>74</v>
      </c>
      <c r="D1" s="30" t="s">
        <v>75</v>
      </c>
      <c r="E1" s="30" t="s">
        <v>76</v>
      </c>
      <c r="F1" s="30" t="s">
        <v>77</v>
      </c>
      <c r="G1" s="30" t="s">
        <v>78</v>
      </c>
      <c r="H1" s="30" t="s">
        <v>79</v>
      </c>
      <c r="I1" s="30" t="s">
        <v>80</v>
      </c>
    </row>
    <row r="2" spans="1:9" x14ac:dyDescent="0.2">
      <c r="A2" s="29" t="s">
        <v>81</v>
      </c>
      <c r="B2" s="29" t="s">
        <v>82</v>
      </c>
      <c r="C2" s="29" t="s">
        <v>83</v>
      </c>
      <c r="D2" s="29" t="s">
        <v>84</v>
      </c>
      <c r="E2" s="29" t="s">
        <v>42</v>
      </c>
      <c r="F2" s="29" t="s">
        <v>8</v>
      </c>
      <c r="G2" s="29">
        <v>500</v>
      </c>
      <c r="H2" s="29">
        <v>500</v>
      </c>
      <c r="I2" s="31">
        <v>0</v>
      </c>
    </row>
    <row r="3" spans="1:9" x14ac:dyDescent="0.2">
      <c r="A3" s="27" t="s">
        <v>85</v>
      </c>
      <c r="B3" s="27" t="s">
        <v>86</v>
      </c>
      <c r="C3" s="27" t="s">
        <v>87</v>
      </c>
      <c r="D3" s="27" t="s">
        <v>88</v>
      </c>
      <c r="E3" s="27" t="s">
        <v>38</v>
      </c>
      <c r="F3" s="27" t="s">
        <v>9</v>
      </c>
      <c r="G3" s="27">
        <v>70</v>
      </c>
      <c r="H3" s="27">
        <v>67</v>
      </c>
      <c r="I3" s="32">
        <v>4.2900000000000001E-2</v>
      </c>
    </row>
    <row r="4" spans="1:9" x14ac:dyDescent="0.2">
      <c r="A4" s="29" t="s">
        <v>89</v>
      </c>
      <c r="B4" s="29" t="s">
        <v>90</v>
      </c>
      <c r="C4" s="29" t="s">
        <v>87</v>
      </c>
      <c r="D4" s="29" t="s">
        <v>91</v>
      </c>
      <c r="E4" s="29" t="s">
        <v>36</v>
      </c>
      <c r="F4" s="29" t="s">
        <v>16</v>
      </c>
      <c r="G4" s="29">
        <v>700</v>
      </c>
      <c r="H4" s="29">
        <v>679</v>
      </c>
      <c r="I4" s="31">
        <v>0.03</v>
      </c>
    </row>
    <row r="5" spans="1:9" x14ac:dyDescent="0.2">
      <c r="A5" s="27" t="s">
        <v>92</v>
      </c>
      <c r="B5" s="27" t="s">
        <v>93</v>
      </c>
      <c r="C5" s="27" t="s">
        <v>83</v>
      </c>
      <c r="D5" s="27" t="s">
        <v>94</v>
      </c>
      <c r="E5" s="27" t="s">
        <v>40</v>
      </c>
      <c r="F5" s="27" t="s">
        <v>21</v>
      </c>
      <c r="G5" s="27">
        <v>30</v>
      </c>
      <c r="H5" s="27">
        <v>22</v>
      </c>
      <c r="I5" s="32">
        <v>0.26669999999999999</v>
      </c>
    </row>
    <row r="6" spans="1:9" x14ac:dyDescent="0.2">
      <c r="A6" s="29" t="s">
        <v>95</v>
      </c>
      <c r="B6" s="29" t="s">
        <v>86</v>
      </c>
      <c r="C6" s="29" t="s">
        <v>87</v>
      </c>
      <c r="D6" s="29" t="s">
        <v>96</v>
      </c>
      <c r="E6" s="29" t="s">
        <v>42</v>
      </c>
      <c r="F6" s="29" t="s">
        <v>25</v>
      </c>
      <c r="G6" s="29">
        <v>500</v>
      </c>
      <c r="H6" s="29">
        <v>490</v>
      </c>
      <c r="I6" s="31">
        <v>0.02</v>
      </c>
    </row>
    <row r="7" spans="1:9" x14ac:dyDescent="0.2">
      <c r="A7" s="27" t="s">
        <v>97</v>
      </c>
      <c r="B7" s="27" t="s">
        <v>98</v>
      </c>
      <c r="C7" s="27" t="s">
        <v>87</v>
      </c>
      <c r="D7" s="27" t="s">
        <v>99</v>
      </c>
      <c r="E7" s="27" t="s">
        <v>41</v>
      </c>
      <c r="F7" s="27" t="s">
        <v>24</v>
      </c>
      <c r="G7" s="27">
        <v>80</v>
      </c>
      <c r="H7" s="27">
        <v>78</v>
      </c>
      <c r="I7" s="32">
        <v>2.5000000000000001E-2</v>
      </c>
    </row>
    <row r="8" spans="1:9" x14ac:dyDescent="0.2">
      <c r="A8" s="29" t="s">
        <v>100</v>
      </c>
      <c r="B8" s="29" t="s">
        <v>101</v>
      </c>
      <c r="C8" s="29" t="s">
        <v>83</v>
      </c>
      <c r="D8" s="29" t="s">
        <v>102</v>
      </c>
      <c r="E8" s="29" t="s">
        <v>37</v>
      </c>
      <c r="F8" s="29" t="s">
        <v>19</v>
      </c>
      <c r="G8" s="29">
        <v>150</v>
      </c>
      <c r="H8" s="29">
        <v>137</v>
      </c>
      <c r="I8" s="31">
        <v>8.6699999999999999E-2</v>
      </c>
    </row>
    <row r="9" spans="1:9" x14ac:dyDescent="0.2">
      <c r="A9" s="27" t="s">
        <v>103</v>
      </c>
      <c r="B9" s="27" t="s">
        <v>104</v>
      </c>
      <c r="C9" s="27" t="s">
        <v>105</v>
      </c>
      <c r="D9" s="27" t="s">
        <v>106</v>
      </c>
      <c r="E9" s="27" t="s">
        <v>39</v>
      </c>
      <c r="F9" s="27" t="s">
        <v>5</v>
      </c>
      <c r="G9" s="27">
        <v>500</v>
      </c>
      <c r="H9" s="27">
        <v>465</v>
      </c>
      <c r="I9" s="32">
        <v>7.0000000000000007E-2</v>
      </c>
    </row>
    <row r="10" spans="1:9" x14ac:dyDescent="0.2">
      <c r="A10" s="29" t="s">
        <v>103</v>
      </c>
      <c r="B10" s="29" t="s">
        <v>104</v>
      </c>
      <c r="C10" s="29" t="s">
        <v>105</v>
      </c>
      <c r="D10" s="29" t="s">
        <v>107</v>
      </c>
      <c r="E10" s="29" t="s">
        <v>40</v>
      </c>
      <c r="F10" s="29" t="s">
        <v>5</v>
      </c>
      <c r="G10" s="29">
        <v>30</v>
      </c>
      <c r="H10" s="29">
        <v>28</v>
      </c>
      <c r="I10" s="31">
        <v>6.6699999999999995E-2</v>
      </c>
    </row>
    <row r="11" spans="1:9" x14ac:dyDescent="0.2">
      <c r="A11" s="27" t="s">
        <v>108</v>
      </c>
      <c r="B11" s="27" t="s">
        <v>109</v>
      </c>
      <c r="C11" s="27" t="s">
        <v>83</v>
      </c>
      <c r="D11" s="27" t="s">
        <v>110</v>
      </c>
      <c r="E11" s="27" t="s">
        <v>45</v>
      </c>
      <c r="F11" s="27" t="s">
        <v>11</v>
      </c>
      <c r="G11" s="27">
        <v>800</v>
      </c>
      <c r="H11" s="27">
        <v>760</v>
      </c>
      <c r="I11" s="32">
        <v>0.05</v>
      </c>
    </row>
    <row r="12" spans="1:9" x14ac:dyDescent="0.2">
      <c r="A12" s="29" t="s">
        <v>111</v>
      </c>
      <c r="B12" s="29" t="s">
        <v>112</v>
      </c>
      <c r="C12" s="29" t="s">
        <v>83</v>
      </c>
      <c r="D12" s="29" t="s">
        <v>113</v>
      </c>
      <c r="E12" s="29" t="s">
        <v>41</v>
      </c>
      <c r="F12" s="29" t="s">
        <v>20</v>
      </c>
      <c r="G12" s="29">
        <v>80</v>
      </c>
      <c r="H12" s="29">
        <v>79</v>
      </c>
      <c r="I12" s="31">
        <v>1.2500000000000001E-2</v>
      </c>
    </row>
    <row r="13" spans="1:9" x14ac:dyDescent="0.2">
      <c r="A13" s="27" t="s">
        <v>114</v>
      </c>
      <c r="B13" s="27" t="s">
        <v>115</v>
      </c>
      <c r="C13" s="27" t="s">
        <v>87</v>
      </c>
      <c r="D13" s="27" t="s">
        <v>116</v>
      </c>
      <c r="E13" s="27" t="s">
        <v>43</v>
      </c>
      <c r="F13" s="27" t="s">
        <v>17</v>
      </c>
      <c r="G13" s="27">
        <v>1000</v>
      </c>
      <c r="H13" s="27">
        <v>950</v>
      </c>
      <c r="I13" s="32">
        <v>0.05</v>
      </c>
    </row>
    <row r="14" spans="1:9" x14ac:dyDescent="0.2">
      <c r="A14" s="29" t="s">
        <v>117</v>
      </c>
      <c r="B14" s="29" t="s">
        <v>118</v>
      </c>
      <c r="C14" s="29" t="s">
        <v>83</v>
      </c>
      <c r="D14" s="29" t="s">
        <v>119</v>
      </c>
      <c r="E14" s="29" t="s">
        <v>45</v>
      </c>
      <c r="F14" s="29" t="s">
        <v>10</v>
      </c>
      <c r="G14" s="29">
        <v>800</v>
      </c>
      <c r="H14" s="29">
        <v>736</v>
      </c>
      <c r="I14" s="31">
        <v>0.08</v>
      </c>
    </row>
    <row r="15" spans="1:9" x14ac:dyDescent="0.2">
      <c r="A15" s="27" t="s">
        <v>120</v>
      </c>
      <c r="B15" s="27" t="s">
        <v>121</v>
      </c>
      <c r="C15" s="27" t="s">
        <v>83</v>
      </c>
      <c r="D15" s="27" t="s">
        <v>122</v>
      </c>
      <c r="E15" s="27" t="s">
        <v>43</v>
      </c>
      <c r="F15" s="27" t="s">
        <v>6</v>
      </c>
      <c r="G15" s="27">
        <v>1000</v>
      </c>
      <c r="H15" s="27">
        <v>500</v>
      </c>
      <c r="I15" s="32">
        <v>0.5</v>
      </c>
    </row>
    <row r="16" spans="1:9" x14ac:dyDescent="0.2">
      <c r="A16" s="29" t="s">
        <v>123</v>
      </c>
      <c r="B16" s="29" t="s">
        <v>124</v>
      </c>
      <c r="C16" s="29" t="s">
        <v>105</v>
      </c>
      <c r="D16" s="29" t="s">
        <v>125</v>
      </c>
      <c r="E16" s="29" t="s">
        <v>36</v>
      </c>
      <c r="F16" s="29" t="s">
        <v>12</v>
      </c>
      <c r="G16" s="29">
        <v>700</v>
      </c>
      <c r="H16" s="29">
        <v>686</v>
      </c>
      <c r="I16" s="31">
        <v>0.02</v>
      </c>
    </row>
    <row r="17" spans="1:9" x14ac:dyDescent="0.2">
      <c r="A17" s="27" t="s">
        <v>126</v>
      </c>
      <c r="B17" s="27" t="s">
        <v>127</v>
      </c>
      <c r="C17" s="27" t="s">
        <v>128</v>
      </c>
      <c r="D17" s="27" t="s">
        <v>129</v>
      </c>
      <c r="E17" s="27" t="s">
        <v>40</v>
      </c>
      <c r="F17" s="27" t="s">
        <v>18</v>
      </c>
      <c r="G17" s="27">
        <v>30</v>
      </c>
      <c r="H17" s="27">
        <v>27</v>
      </c>
      <c r="I17" s="32">
        <v>0.1</v>
      </c>
    </row>
    <row r="18" spans="1:9" x14ac:dyDescent="0.2">
      <c r="A18" s="29" t="s">
        <v>130</v>
      </c>
      <c r="B18" s="29" t="s">
        <v>131</v>
      </c>
      <c r="C18" s="29" t="s">
        <v>87</v>
      </c>
      <c r="D18" s="29" t="s">
        <v>132</v>
      </c>
      <c r="E18" s="29" t="s">
        <v>40</v>
      </c>
      <c r="F18" s="29" t="s">
        <v>13</v>
      </c>
      <c r="G18" s="29">
        <v>30</v>
      </c>
      <c r="H18" s="29">
        <v>29</v>
      </c>
      <c r="I18" s="31">
        <v>3.3300000000000003E-2</v>
      </c>
    </row>
    <row r="19" spans="1:9" x14ac:dyDescent="0.2">
      <c r="A19" s="27" t="s">
        <v>133</v>
      </c>
      <c r="B19" s="27" t="s">
        <v>134</v>
      </c>
      <c r="C19" s="27" t="s">
        <v>87</v>
      </c>
      <c r="D19" s="27" t="s">
        <v>135</v>
      </c>
      <c r="E19" s="27" t="s">
        <v>44</v>
      </c>
      <c r="F19" s="27" t="s">
        <v>4</v>
      </c>
      <c r="G19" s="27">
        <v>50</v>
      </c>
      <c r="H19" s="27">
        <v>37</v>
      </c>
      <c r="I19" s="32">
        <v>0.26</v>
      </c>
    </row>
    <row r="20" spans="1:9" x14ac:dyDescent="0.2">
      <c r="A20" s="29" t="s">
        <v>133</v>
      </c>
      <c r="B20" s="29" t="s">
        <v>134</v>
      </c>
      <c r="C20" s="29" t="s">
        <v>87</v>
      </c>
      <c r="D20" s="29" t="s">
        <v>136</v>
      </c>
      <c r="E20" s="29" t="s">
        <v>45</v>
      </c>
      <c r="F20" s="29" t="s">
        <v>15</v>
      </c>
      <c r="G20" s="29">
        <v>800</v>
      </c>
      <c r="H20" s="29">
        <v>672</v>
      </c>
      <c r="I20" s="31">
        <v>0.16</v>
      </c>
    </row>
    <row r="21" spans="1:9" x14ac:dyDescent="0.2">
      <c r="A21" s="27" t="s">
        <v>137</v>
      </c>
      <c r="B21" s="27" t="s">
        <v>138</v>
      </c>
      <c r="C21" s="27" t="s">
        <v>83</v>
      </c>
      <c r="D21" s="27" t="s">
        <v>139</v>
      </c>
      <c r="E21" s="27" t="s">
        <v>43</v>
      </c>
      <c r="F21" s="27" t="s">
        <v>26</v>
      </c>
      <c r="G21" s="27">
        <v>1000</v>
      </c>
      <c r="H21" s="27">
        <v>620</v>
      </c>
      <c r="I21" s="32">
        <v>0.38</v>
      </c>
    </row>
    <row r="22" spans="1:9" x14ac:dyDescent="0.2">
      <c r="A22" s="29" t="s">
        <v>140</v>
      </c>
      <c r="B22" s="29" t="s">
        <v>141</v>
      </c>
      <c r="C22" s="29" t="s">
        <v>105</v>
      </c>
      <c r="D22" s="29" t="s">
        <v>142</v>
      </c>
      <c r="E22" s="29" t="s">
        <v>40</v>
      </c>
      <c r="F22" s="29" t="s">
        <v>14</v>
      </c>
      <c r="G22" s="29">
        <v>30</v>
      </c>
      <c r="H22" s="29">
        <v>28</v>
      </c>
      <c r="I22" s="31">
        <v>6.6699999999999995E-2</v>
      </c>
    </row>
    <row r="23" spans="1:9" x14ac:dyDescent="0.2">
      <c r="A23" s="27" t="s">
        <v>140</v>
      </c>
      <c r="B23" s="27" t="s">
        <v>141</v>
      </c>
      <c r="C23" s="27" t="s">
        <v>105</v>
      </c>
      <c r="D23" s="27" t="s">
        <v>143</v>
      </c>
      <c r="E23" s="27" t="s">
        <v>40</v>
      </c>
      <c r="F23" s="27" t="s">
        <v>22</v>
      </c>
      <c r="G23" s="27">
        <v>30</v>
      </c>
      <c r="H23" s="27">
        <v>28</v>
      </c>
      <c r="I23" s="32">
        <v>6.6699999999999995E-2</v>
      </c>
    </row>
    <row r="24" spans="1:9" x14ac:dyDescent="0.2">
      <c r="A24" s="29" t="s">
        <v>144</v>
      </c>
      <c r="B24" s="29" t="s">
        <v>145</v>
      </c>
      <c r="C24" s="29" t="s">
        <v>128</v>
      </c>
      <c r="D24" s="29" t="s">
        <v>146</v>
      </c>
      <c r="E24" s="29" t="s">
        <v>41</v>
      </c>
      <c r="F24" s="29" t="s">
        <v>7</v>
      </c>
      <c r="G24" s="29">
        <v>80</v>
      </c>
      <c r="H24" s="29">
        <v>54</v>
      </c>
      <c r="I24" s="31">
        <v>0.32500000000000001</v>
      </c>
    </row>
    <row r="25" spans="1:9" x14ac:dyDescent="0.2">
      <c r="A25" s="27" t="s">
        <v>144</v>
      </c>
      <c r="B25" s="27" t="s">
        <v>145</v>
      </c>
      <c r="C25" s="27" t="s">
        <v>128</v>
      </c>
      <c r="D25" s="27" t="s">
        <v>147</v>
      </c>
      <c r="E25" s="27" t="s">
        <v>37</v>
      </c>
      <c r="F25" s="27" t="s">
        <v>23</v>
      </c>
      <c r="G25" s="27">
        <v>150</v>
      </c>
      <c r="H25" s="27">
        <v>150</v>
      </c>
      <c r="I25" s="3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/>
  </sheetViews>
  <sheetFormatPr baseColWidth="10" defaultColWidth="8.83203125" defaultRowHeight="15" x14ac:dyDescent="0.2"/>
  <cols>
    <col min="1" max="11" width="16" customWidth="1"/>
  </cols>
  <sheetData>
    <row r="1" spans="1:9" ht="18" customHeight="1" x14ac:dyDescent="0.2">
      <c r="A1" s="4" t="s">
        <v>148</v>
      </c>
    </row>
    <row r="3" spans="1:9" x14ac:dyDescent="0.2">
      <c r="A3" s="5" t="s">
        <v>149</v>
      </c>
    </row>
    <row r="4" spans="1:9" x14ac:dyDescent="0.2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</row>
    <row r="5" spans="1:9" x14ac:dyDescent="0.2">
      <c r="A5" s="2" t="s">
        <v>89</v>
      </c>
      <c r="B5" s="2" t="s">
        <v>90</v>
      </c>
      <c r="C5" s="2" t="s">
        <v>87</v>
      </c>
      <c r="D5" s="2" t="s">
        <v>91</v>
      </c>
      <c r="E5" s="2" t="s">
        <v>36</v>
      </c>
      <c r="F5" s="2" t="s">
        <v>16</v>
      </c>
      <c r="G5" s="2">
        <v>700</v>
      </c>
      <c r="H5" s="2">
        <v>679</v>
      </c>
      <c r="I5" s="3">
        <v>0.03</v>
      </c>
    </row>
    <row r="6" spans="1:9" x14ac:dyDescent="0.2">
      <c r="A6" s="2" t="s">
        <v>95</v>
      </c>
      <c r="B6" s="2" t="s">
        <v>86</v>
      </c>
      <c r="C6" s="2" t="s">
        <v>87</v>
      </c>
      <c r="D6" s="2" t="s">
        <v>96</v>
      </c>
      <c r="E6" s="2" t="s">
        <v>42</v>
      </c>
      <c r="F6" s="2" t="s">
        <v>25</v>
      </c>
      <c r="G6" s="2">
        <v>500</v>
      </c>
      <c r="H6" s="2">
        <v>490</v>
      </c>
      <c r="I6" s="3">
        <v>0.02</v>
      </c>
    </row>
    <row r="7" spans="1:9" x14ac:dyDescent="0.2">
      <c r="A7" s="2" t="s">
        <v>137</v>
      </c>
      <c r="B7" s="2" t="s">
        <v>138</v>
      </c>
      <c r="C7" s="2" t="s">
        <v>83</v>
      </c>
      <c r="D7" s="2" t="s">
        <v>139</v>
      </c>
      <c r="E7" s="2" t="s">
        <v>43</v>
      </c>
      <c r="F7" s="2" t="s">
        <v>26</v>
      </c>
      <c r="G7" s="2">
        <v>1000</v>
      </c>
      <c r="H7" s="2">
        <v>620</v>
      </c>
      <c r="I7" s="3">
        <v>0.38</v>
      </c>
    </row>
    <row r="8" spans="1:9" x14ac:dyDescent="0.2">
      <c r="A8" s="2" t="s">
        <v>103</v>
      </c>
      <c r="B8" s="2" t="s">
        <v>104</v>
      </c>
      <c r="C8" s="2" t="s">
        <v>105</v>
      </c>
      <c r="D8" s="2" t="s">
        <v>107</v>
      </c>
      <c r="E8" s="2" t="s">
        <v>40</v>
      </c>
      <c r="F8" s="2" t="s">
        <v>5</v>
      </c>
      <c r="G8" s="2">
        <v>30</v>
      </c>
      <c r="H8" s="2">
        <v>28</v>
      </c>
      <c r="I8" s="3">
        <v>6.6699999999999995E-2</v>
      </c>
    </row>
    <row r="9" spans="1:9" x14ac:dyDescent="0.2">
      <c r="A9" s="2" t="s">
        <v>144</v>
      </c>
      <c r="B9" s="2" t="s">
        <v>145</v>
      </c>
      <c r="C9" s="2" t="s">
        <v>128</v>
      </c>
      <c r="D9" s="2" t="s">
        <v>147</v>
      </c>
      <c r="E9" s="2" t="s">
        <v>37</v>
      </c>
      <c r="F9" s="2" t="s">
        <v>23</v>
      </c>
      <c r="G9" s="2">
        <v>150</v>
      </c>
      <c r="H9" s="2">
        <v>150</v>
      </c>
      <c r="I9" s="3">
        <v>0</v>
      </c>
    </row>
    <row r="12" spans="1:9" x14ac:dyDescent="0.2">
      <c r="A12" s="5" t="s">
        <v>150</v>
      </c>
    </row>
    <row r="13" spans="1:9" x14ac:dyDescent="0.2">
      <c r="A13" t="s">
        <v>151</v>
      </c>
      <c r="B13" t="s">
        <v>36</v>
      </c>
      <c r="C13" t="s">
        <v>37</v>
      </c>
      <c r="D13" t="s">
        <v>40</v>
      </c>
      <c r="E13" t="s">
        <v>42</v>
      </c>
      <c r="F13" t="s">
        <v>43</v>
      </c>
    </row>
    <row r="14" spans="1:9" ht="24" customHeight="1" x14ac:dyDescent="0.2">
      <c r="A14" s="33" t="s">
        <v>152</v>
      </c>
      <c r="B14" s="33">
        <f>COUNTA(B13:K13)</f>
        <v>5</v>
      </c>
      <c r="C14" s="33" t="s">
        <v>153</v>
      </c>
    </row>
    <row r="17" spans="1:5" x14ac:dyDescent="0.2">
      <c r="A17" s="5" t="s">
        <v>154</v>
      </c>
    </row>
    <row r="18" spans="1:5" x14ac:dyDescent="0.2">
      <c r="A18" t="s">
        <v>155</v>
      </c>
      <c r="B18" t="s">
        <v>87</v>
      </c>
      <c r="C18" t="s">
        <v>83</v>
      </c>
      <c r="D18" t="s">
        <v>105</v>
      </c>
      <c r="E18" t="s">
        <v>128</v>
      </c>
    </row>
    <row r="19" spans="1:5" ht="24" customHeight="1" x14ac:dyDescent="0.2">
      <c r="A19" s="33" t="s">
        <v>156</v>
      </c>
      <c r="B19" s="33">
        <f>COUNTA(B18:E18)</f>
        <v>4</v>
      </c>
      <c r="C19" s="33" t="s">
        <v>157</v>
      </c>
    </row>
    <row r="22" spans="1:5" x14ac:dyDescent="0.2">
      <c r="A22" s="5" t="s">
        <v>158</v>
      </c>
    </row>
    <row r="23" spans="1:5" x14ac:dyDescent="0.2">
      <c r="A23" t="s">
        <v>159</v>
      </c>
    </row>
    <row r="24" spans="1:5" ht="24" customHeight="1" x14ac:dyDescent="0.2">
      <c r="A24" s="33" t="s">
        <v>160</v>
      </c>
      <c r="B24" s="33" t="str">
        <f>B7</f>
        <v>Israel</v>
      </c>
      <c r="C24" s="33" t="s">
        <v>161</v>
      </c>
    </row>
    <row r="27" spans="1:5" x14ac:dyDescent="0.2">
      <c r="A27" s="12"/>
      <c r="B27" s="11"/>
      <c r="C27" s="11"/>
      <c r="D27" s="11"/>
    </row>
    <row r="28" spans="1:5" x14ac:dyDescent="0.2">
      <c r="A28" s="12"/>
      <c r="B28" s="11"/>
      <c r="C28" s="11"/>
      <c r="D28" s="11"/>
    </row>
    <row r="29" spans="1:5" x14ac:dyDescent="0.2">
      <c r="A29" s="12"/>
      <c r="B29" s="11"/>
      <c r="C29" s="11"/>
      <c r="D29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/>
  </sheetViews>
  <sheetFormatPr baseColWidth="10" defaultColWidth="8.83203125" defaultRowHeight="15" x14ac:dyDescent="0.2"/>
  <cols>
    <col min="1" max="4" width="22" customWidth="1"/>
  </cols>
  <sheetData>
    <row r="1" spans="1:4" x14ac:dyDescent="0.2">
      <c r="A1" s="15" t="s">
        <v>162</v>
      </c>
    </row>
    <row r="3" spans="1:4" x14ac:dyDescent="0.2">
      <c r="A3" s="15" t="s">
        <v>163</v>
      </c>
    </row>
    <row r="5" spans="1:4" x14ac:dyDescent="0.2">
      <c r="A5" s="15" t="s">
        <v>74</v>
      </c>
      <c r="B5" s="15" t="s">
        <v>164</v>
      </c>
    </row>
    <row r="6" spans="1:4" x14ac:dyDescent="0.2">
      <c r="A6" t="s">
        <v>87</v>
      </c>
      <c r="B6">
        <f>SUMIF(Data!$C$2:$C$25,A6,Data!$H$2:$H$25)</f>
        <v>3002</v>
      </c>
    </row>
    <row r="7" spans="1:4" x14ac:dyDescent="0.2">
      <c r="A7" t="s">
        <v>83</v>
      </c>
      <c r="B7">
        <f>SUMIF(Data!$C$2:$C$25,A7,Data!$H$2:$H$25)</f>
        <v>3354</v>
      </c>
    </row>
    <row r="8" spans="1:4" x14ac:dyDescent="0.2">
      <c r="A8" t="s">
        <v>105</v>
      </c>
      <c r="B8">
        <f>SUMIF(Data!$C$2:$C$25,A8,Data!$H$2:$H$25)</f>
        <v>1235</v>
      </c>
    </row>
    <row r="9" spans="1:4" x14ac:dyDescent="0.2">
      <c r="A9" t="s">
        <v>128</v>
      </c>
      <c r="B9">
        <f>SUMIF(Data!$C$2:$C$25,A9,Data!$H$2:$H$25)</f>
        <v>231</v>
      </c>
    </row>
    <row r="11" spans="1:4" ht="24" customHeight="1" x14ac:dyDescent="0.2">
      <c r="A11" s="33" t="s">
        <v>165</v>
      </c>
      <c r="B11" s="33" t="str">
        <f>INDEX(A6:A9,MATCH(MAX(B6:B9),B6:B9,0))</f>
        <v>EMEA</v>
      </c>
      <c r="C11" s="33" t="s">
        <v>166</v>
      </c>
      <c r="D11" s="33">
        <f>MAX(B6:B9)</f>
        <v>3354</v>
      </c>
    </row>
    <row r="14" spans="1:4" x14ac:dyDescent="0.2">
      <c r="A14" s="5" t="s">
        <v>167</v>
      </c>
    </row>
    <row r="16" spans="1:4" x14ac:dyDescent="0.2">
      <c r="A16" s="15" t="s">
        <v>74</v>
      </c>
      <c r="B16" s="15" t="s">
        <v>168</v>
      </c>
    </row>
    <row r="17" spans="1:4" x14ac:dyDescent="0.2">
      <c r="A17" t="s">
        <v>87</v>
      </c>
      <c r="B17" s="6">
        <f>AVERAGEIF(Data!$C$2:$C$25,A17,Data!$I$2:$I$25)</f>
        <v>7.7649999999999997E-2</v>
      </c>
    </row>
    <row r="18" spans="1:4" x14ac:dyDescent="0.2">
      <c r="A18" t="s">
        <v>83</v>
      </c>
      <c r="B18" s="6">
        <f>AVERAGEIF(Data!$C$2:$C$25,A18,Data!$I$2:$I$25)</f>
        <v>0.17198750000000002</v>
      </c>
    </row>
    <row r="19" spans="1:4" x14ac:dyDescent="0.2">
      <c r="A19" t="s">
        <v>105</v>
      </c>
      <c r="B19" s="6">
        <f>AVERAGEIF(Data!$C$2:$C$25,A19,Data!$I$2:$I$25)</f>
        <v>5.8019999999999995E-2</v>
      </c>
    </row>
    <row r="20" spans="1:4" x14ac:dyDescent="0.2">
      <c r="A20" t="s">
        <v>128</v>
      </c>
      <c r="B20" s="6">
        <f>AVERAGEIF(Data!$C$2:$C$25,A20,Data!$I$2:$I$25)</f>
        <v>0.14166666666666669</v>
      </c>
    </row>
    <row r="22" spans="1:4" ht="24" customHeight="1" x14ac:dyDescent="0.2">
      <c r="A22" s="33" t="s">
        <v>169</v>
      </c>
      <c r="B22" s="33" t="str">
        <f>INDEX(A17:A20,MATCH(MAX(B17:B20),B17:B20,0))</f>
        <v>EMEA</v>
      </c>
      <c r="C22" s="33" t="s">
        <v>166</v>
      </c>
      <c r="D22" s="34">
        <f>MAX(B17:B20)</f>
        <v>0.17198750000000002</v>
      </c>
    </row>
    <row r="25" spans="1:4" x14ac:dyDescent="0.2">
      <c r="A25" s="12"/>
      <c r="B25" s="11"/>
      <c r="C25" s="11"/>
      <c r="D25" s="11"/>
    </row>
    <row r="26" spans="1:4" x14ac:dyDescent="0.2">
      <c r="A26" s="12"/>
      <c r="B26" s="11"/>
      <c r="C26" s="11"/>
      <c r="D26" s="11"/>
    </row>
    <row r="27" spans="1:4" x14ac:dyDescent="0.2">
      <c r="A27" s="12"/>
      <c r="B27" s="11"/>
      <c r="C27" s="11"/>
      <c r="D27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/>
  </sheetViews>
  <sheetFormatPr baseColWidth="10" defaultColWidth="8.83203125" defaultRowHeight="15" x14ac:dyDescent="0.2"/>
  <cols>
    <col min="1" max="8" width="26" customWidth="1"/>
  </cols>
  <sheetData>
    <row r="1" spans="1:8" ht="18" customHeight="1" x14ac:dyDescent="0.2">
      <c r="A1" s="4" t="s">
        <v>170</v>
      </c>
      <c r="G1" s="5" t="s">
        <v>171</v>
      </c>
      <c r="H1" s="7">
        <v>0.1</v>
      </c>
    </row>
    <row r="2" spans="1:8" x14ac:dyDescent="0.2">
      <c r="A2" t="s">
        <v>172</v>
      </c>
    </row>
    <row r="4" spans="1:8" x14ac:dyDescent="0.2">
      <c r="A4" s="1" t="s">
        <v>72</v>
      </c>
      <c r="B4" s="1" t="s">
        <v>79</v>
      </c>
      <c r="C4" s="1" t="s">
        <v>80</v>
      </c>
      <c r="D4" s="1" t="s">
        <v>173</v>
      </c>
      <c r="E4" s="1" t="s">
        <v>174</v>
      </c>
    </row>
    <row r="5" spans="1:8" x14ac:dyDescent="0.2">
      <c r="A5" s="2" t="s">
        <v>81</v>
      </c>
      <c r="B5" s="2">
        <v>500</v>
      </c>
      <c r="C5" s="3">
        <v>0</v>
      </c>
      <c r="D5" s="8">
        <f t="shared" ref="D5:D28" si="0">B5-(B5*C5)</f>
        <v>500</v>
      </c>
      <c r="E5" s="8">
        <f t="shared" ref="E5:E28" si="1">B5-(B5*$H$1)</f>
        <v>450</v>
      </c>
    </row>
    <row r="6" spans="1:8" x14ac:dyDescent="0.2">
      <c r="A6" s="2" t="s">
        <v>85</v>
      </c>
      <c r="B6" s="2">
        <v>67</v>
      </c>
      <c r="C6" s="3">
        <v>4.2900000000000001E-2</v>
      </c>
      <c r="D6" s="8">
        <f t="shared" si="0"/>
        <v>64.125699999999995</v>
      </c>
      <c r="E6" s="8">
        <f t="shared" si="1"/>
        <v>60.3</v>
      </c>
    </row>
    <row r="7" spans="1:8" x14ac:dyDescent="0.2">
      <c r="A7" s="2" t="s">
        <v>89</v>
      </c>
      <c r="B7" s="2">
        <v>679</v>
      </c>
      <c r="C7" s="3">
        <v>0.03</v>
      </c>
      <c r="D7" s="8">
        <f t="shared" si="0"/>
        <v>658.63</v>
      </c>
      <c r="E7" s="8">
        <f t="shared" si="1"/>
        <v>611.1</v>
      </c>
    </row>
    <row r="8" spans="1:8" x14ac:dyDescent="0.2">
      <c r="A8" s="2" t="s">
        <v>92</v>
      </c>
      <c r="B8" s="2">
        <v>22</v>
      </c>
      <c r="C8" s="3">
        <v>0.26669999999999999</v>
      </c>
      <c r="D8" s="8">
        <f t="shared" si="0"/>
        <v>16.1326</v>
      </c>
      <c r="E8" s="8">
        <f t="shared" si="1"/>
        <v>19.8</v>
      </c>
    </row>
    <row r="9" spans="1:8" x14ac:dyDescent="0.2">
      <c r="A9" s="2" t="s">
        <v>95</v>
      </c>
      <c r="B9" s="2">
        <v>490</v>
      </c>
      <c r="C9" s="3">
        <v>0.02</v>
      </c>
      <c r="D9" s="8">
        <f t="shared" si="0"/>
        <v>480.2</v>
      </c>
      <c r="E9" s="8">
        <f t="shared" si="1"/>
        <v>441</v>
      </c>
    </row>
    <row r="10" spans="1:8" x14ac:dyDescent="0.2">
      <c r="A10" s="2" t="s">
        <v>97</v>
      </c>
      <c r="B10" s="2">
        <v>78</v>
      </c>
      <c r="C10" s="3">
        <v>2.5000000000000001E-2</v>
      </c>
      <c r="D10" s="8">
        <f t="shared" si="0"/>
        <v>76.05</v>
      </c>
      <c r="E10" s="8">
        <f t="shared" si="1"/>
        <v>70.2</v>
      </c>
    </row>
    <row r="11" spans="1:8" x14ac:dyDescent="0.2">
      <c r="A11" s="2" t="s">
        <v>100</v>
      </c>
      <c r="B11" s="2">
        <v>137</v>
      </c>
      <c r="C11" s="3">
        <v>8.6699999999999999E-2</v>
      </c>
      <c r="D11" s="8">
        <f t="shared" si="0"/>
        <v>125.1221</v>
      </c>
      <c r="E11" s="8">
        <f t="shared" si="1"/>
        <v>123.3</v>
      </c>
    </row>
    <row r="12" spans="1:8" x14ac:dyDescent="0.2">
      <c r="A12" s="2" t="s">
        <v>103</v>
      </c>
      <c r="B12" s="2">
        <v>465</v>
      </c>
      <c r="C12" s="3">
        <v>7.0000000000000007E-2</v>
      </c>
      <c r="D12" s="8">
        <f t="shared" si="0"/>
        <v>432.45</v>
      </c>
      <c r="E12" s="8">
        <f t="shared" si="1"/>
        <v>418.5</v>
      </c>
    </row>
    <row r="13" spans="1:8" x14ac:dyDescent="0.2">
      <c r="A13" s="2" t="s">
        <v>103</v>
      </c>
      <c r="B13" s="2">
        <v>28</v>
      </c>
      <c r="C13" s="3">
        <v>6.6699999999999995E-2</v>
      </c>
      <c r="D13" s="8">
        <f t="shared" si="0"/>
        <v>26.132400000000001</v>
      </c>
      <c r="E13" s="8">
        <f t="shared" si="1"/>
        <v>25.2</v>
      </c>
    </row>
    <row r="14" spans="1:8" x14ac:dyDescent="0.2">
      <c r="A14" s="2" t="s">
        <v>108</v>
      </c>
      <c r="B14" s="2">
        <v>760</v>
      </c>
      <c r="C14" s="3">
        <v>0.05</v>
      </c>
      <c r="D14" s="8">
        <f t="shared" si="0"/>
        <v>722</v>
      </c>
      <c r="E14" s="8">
        <f t="shared" si="1"/>
        <v>684</v>
      </c>
    </row>
    <row r="15" spans="1:8" x14ac:dyDescent="0.2">
      <c r="A15" s="2" t="s">
        <v>111</v>
      </c>
      <c r="B15" s="2">
        <v>79</v>
      </c>
      <c r="C15" s="3">
        <v>1.2500000000000001E-2</v>
      </c>
      <c r="D15" s="8">
        <f t="shared" si="0"/>
        <v>78.012500000000003</v>
      </c>
      <c r="E15" s="8">
        <f t="shared" si="1"/>
        <v>71.099999999999994</v>
      </c>
    </row>
    <row r="16" spans="1:8" x14ac:dyDescent="0.2">
      <c r="A16" s="2" t="s">
        <v>114</v>
      </c>
      <c r="B16" s="2">
        <v>950</v>
      </c>
      <c r="C16" s="3">
        <v>0.05</v>
      </c>
      <c r="D16" s="8">
        <f t="shared" si="0"/>
        <v>902.5</v>
      </c>
      <c r="E16" s="8">
        <f t="shared" si="1"/>
        <v>855</v>
      </c>
    </row>
    <row r="17" spans="1:5" x14ac:dyDescent="0.2">
      <c r="A17" s="2" t="s">
        <v>117</v>
      </c>
      <c r="B17" s="2">
        <v>736</v>
      </c>
      <c r="C17" s="3">
        <v>0.08</v>
      </c>
      <c r="D17" s="8">
        <f t="shared" si="0"/>
        <v>677.12</v>
      </c>
      <c r="E17" s="8">
        <f t="shared" si="1"/>
        <v>662.4</v>
      </c>
    </row>
    <row r="18" spans="1:5" x14ac:dyDescent="0.2">
      <c r="A18" s="2" t="s">
        <v>120</v>
      </c>
      <c r="B18" s="2">
        <v>500</v>
      </c>
      <c r="C18" s="3">
        <v>0.5</v>
      </c>
      <c r="D18" s="8">
        <f t="shared" si="0"/>
        <v>250</v>
      </c>
      <c r="E18" s="8">
        <f t="shared" si="1"/>
        <v>450</v>
      </c>
    </row>
    <row r="19" spans="1:5" x14ac:dyDescent="0.2">
      <c r="A19" s="2" t="s">
        <v>123</v>
      </c>
      <c r="B19" s="2">
        <v>686</v>
      </c>
      <c r="C19" s="3">
        <v>0.02</v>
      </c>
      <c r="D19" s="8">
        <f t="shared" si="0"/>
        <v>672.28</v>
      </c>
      <c r="E19" s="8">
        <f t="shared" si="1"/>
        <v>617.4</v>
      </c>
    </row>
    <row r="20" spans="1:5" x14ac:dyDescent="0.2">
      <c r="A20" s="2" t="s">
        <v>126</v>
      </c>
      <c r="B20" s="2">
        <v>27</v>
      </c>
      <c r="C20" s="3">
        <v>0.1</v>
      </c>
      <c r="D20" s="8">
        <f t="shared" si="0"/>
        <v>24.3</v>
      </c>
      <c r="E20" s="8">
        <f t="shared" si="1"/>
        <v>24.3</v>
      </c>
    </row>
    <row r="21" spans="1:5" x14ac:dyDescent="0.2">
      <c r="A21" s="2" t="s">
        <v>130</v>
      </c>
      <c r="B21" s="2">
        <v>29</v>
      </c>
      <c r="C21" s="3">
        <v>3.3300000000000003E-2</v>
      </c>
      <c r="D21" s="8">
        <f t="shared" si="0"/>
        <v>28.034299999999998</v>
      </c>
      <c r="E21" s="8">
        <f t="shared" si="1"/>
        <v>26.1</v>
      </c>
    </row>
    <row r="22" spans="1:5" x14ac:dyDescent="0.2">
      <c r="A22" s="2" t="s">
        <v>133</v>
      </c>
      <c r="B22" s="2">
        <v>37</v>
      </c>
      <c r="C22" s="3">
        <v>0.26</v>
      </c>
      <c r="D22" s="8">
        <f t="shared" si="0"/>
        <v>27.38</v>
      </c>
      <c r="E22" s="8">
        <f t="shared" si="1"/>
        <v>33.299999999999997</v>
      </c>
    </row>
    <row r="23" spans="1:5" x14ac:dyDescent="0.2">
      <c r="A23" s="2" t="s">
        <v>133</v>
      </c>
      <c r="B23" s="2">
        <v>672</v>
      </c>
      <c r="C23" s="3">
        <v>0.16</v>
      </c>
      <c r="D23" s="8">
        <f t="shared" si="0"/>
        <v>564.48</v>
      </c>
      <c r="E23" s="8">
        <f t="shared" si="1"/>
        <v>604.79999999999995</v>
      </c>
    </row>
    <row r="24" spans="1:5" x14ac:dyDescent="0.2">
      <c r="A24" s="2" t="s">
        <v>137</v>
      </c>
      <c r="B24" s="2">
        <v>620</v>
      </c>
      <c r="C24" s="3">
        <v>0.38</v>
      </c>
      <c r="D24" s="8">
        <f t="shared" si="0"/>
        <v>384.4</v>
      </c>
      <c r="E24" s="8">
        <f t="shared" si="1"/>
        <v>558</v>
      </c>
    </row>
    <row r="25" spans="1:5" x14ac:dyDescent="0.2">
      <c r="A25" s="2" t="s">
        <v>140</v>
      </c>
      <c r="B25" s="2">
        <v>28</v>
      </c>
      <c r="C25" s="3">
        <v>6.6699999999999995E-2</v>
      </c>
      <c r="D25" s="8">
        <f t="shared" si="0"/>
        <v>26.132400000000001</v>
      </c>
      <c r="E25" s="8">
        <f t="shared" si="1"/>
        <v>25.2</v>
      </c>
    </row>
    <row r="26" spans="1:5" x14ac:dyDescent="0.2">
      <c r="A26" s="2" t="s">
        <v>140</v>
      </c>
      <c r="B26" s="2">
        <v>28</v>
      </c>
      <c r="C26" s="3">
        <v>6.6699999999999995E-2</v>
      </c>
      <c r="D26" s="8">
        <f t="shared" si="0"/>
        <v>26.132400000000001</v>
      </c>
      <c r="E26" s="8">
        <f t="shared" si="1"/>
        <v>25.2</v>
      </c>
    </row>
    <row r="27" spans="1:5" x14ac:dyDescent="0.2">
      <c r="A27" s="2" t="s">
        <v>144</v>
      </c>
      <c r="B27" s="2">
        <v>54</v>
      </c>
      <c r="C27" s="3">
        <v>0.32500000000000001</v>
      </c>
      <c r="D27" s="8">
        <f t="shared" si="0"/>
        <v>36.450000000000003</v>
      </c>
      <c r="E27" s="8">
        <f t="shared" si="1"/>
        <v>48.6</v>
      </c>
    </row>
    <row r="28" spans="1:5" x14ac:dyDescent="0.2">
      <c r="A28" s="2" t="s">
        <v>144</v>
      </c>
      <c r="B28" s="2">
        <v>150</v>
      </c>
      <c r="C28" s="3">
        <v>0</v>
      </c>
      <c r="D28" s="8">
        <f t="shared" si="0"/>
        <v>150</v>
      </c>
      <c r="E28" s="8">
        <f t="shared" si="1"/>
        <v>135</v>
      </c>
    </row>
    <row r="29" spans="1:5" x14ac:dyDescent="0.2">
      <c r="A29" s="5" t="s">
        <v>175</v>
      </c>
      <c r="D29" s="9">
        <f>SUM(D5:D28)</f>
        <v>6948.0644000000002</v>
      </c>
      <c r="E29" s="9">
        <f>SUM(E5:E28)</f>
        <v>7039.8</v>
      </c>
    </row>
    <row r="31" spans="1:5" ht="24" customHeight="1" x14ac:dyDescent="0.2">
      <c r="A31" s="33" t="s">
        <v>176</v>
      </c>
      <c r="B31" s="35">
        <f>D29</f>
        <v>6948.0644000000002</v>
      </c>
      <c r="C31" s="33" t="s">
        <v>177</v>
      </c>
    </row>
    <row r="32" spans="1:5" ht="24" customHeight="1" x14ac:dyDescent="0.2">
      <c r="A32" s="33" t="s">
        <v>178</v>
      </c>
      <c r="B32" s="35">
        <f>E29</f>
        <v>7039.8</v>
      </c>
      <c r="C32" s="33" t="s">
        <v>179</v>
      </c>
    </row>
    <row r="35" spans="1:4" x14ac:dyDescent="0.2">
      <c r="A35" s="12"/>
      <c r="B35" s="11"/>
      <c r="C35" s="11"/>
      <c r="D35" s="11"/>
    </row>
    <row r="36" spans="1:4" x14ac:dyDescent="0.2">
      <c r="A36" s="12"/>
      <c r="B36" s="11"/>
      <c r="C36" s="11"/>
      <c r="D36" s="11"/>
    </row>
    <row r="37" spans="1:4" x14ac:dyDescent="0.2">
      <c r="A37" s="12"/>
      <c r="B37" s="11"/>
      <c r="C37" s="11"/>
      <c r="D37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5"/>
  <sheetViews>
    <sheetView tabSelected="1" workbookViewId="0">
      <selection activeCell="D32" sqref="D32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18" customWidth="1"/>
    <col min="4" max="4" width="16" customWidth="1"/>
    <col min="5" max="5" width="14" customWidth="1"/>
    <col min="6" max="6" width="13" customWidth="1"/>
    <col min="7" max="7" width="15" customWidth="1"/>
    <col min="8" max="8" width="14.5" bestFit="1" customWidth="1"/>
    <col min="9" max="9" width="15.83203125" bestFit="1" customWidth="1"/>
    <col min="10" max="10" width="17.1640625" bestFit="1" customWidth="1"/>
    <col min="11" max="11" width="13.5" bestFit="1" customWidth="1"/>
    <col min="12" max="12" width="14.6640625" bestFit="1" customWidth="1"/>
  </cols>
  <sheetData>
    <row r="1" spans="1:10" ht="28" customHeight="1" x14ac:dyDescent="0.25">
      <c r="A1" s="36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">
      <c r="A2" s="37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2">
      <c r="A3" s="41" t="s">
        <v>2</v>
      </c>
      <c r="B3" s="41" t="s">
        <v>3</v>
      </c>
      <c r="C3" s="10"/>
      <c r="F3" s="10"/>
      <c r="G3" s="10"/>
      <c r="H3" s="10"/>
      <c r="I3" s="10"/>
      <c r="J3" s="10"/>
    </row>
    <row r="4" spans="1:10" x14ac:dyDescent="0.2">
      <c r="A4" s="40" t="s">
        <v>4</v>
      </c>
      <c r="B4">
        <v>1</v>
      </c>
      <c r="C4" s="10"/>
      <c r="F4" s="10"/>
      <c r="G4" s="10"/>
      <c r="H4" s="10"/>
      <c r="I4" s="10"/>
      <c r="J4" s="10"/>
    </row>
    <row r="5" spans="1:10" x14ac:dyDescent="0.2">
      <c r="A5" s="42" t="s">
        <v>5</v>
      </c>
      <c r="B5" s="43">
        <v>2</v>
      </c>
      <c r="C5" s="10"/>
      <c r="F5" s="10"/>
      <c r="G5" s="10"/>
      <c r="H5" s="10"/>
      <c r="I5" s="10"/>
      <c r="J5" s="10"/>
    </row>
    <row r="6" spans="1:10" x14ac:dyDescent="0.2">
      <c r="A6" s="40" t="s">
        <v>6</v>
      </c>
      <c r="B6">
        <v>1</v>
      </c>
      <c r="C6" s="10"/>
      <c r="F6" s="10"/>
      <c r="G6" s="10"/>
      <c r="H6" s="10"/>
      <c r="I6" s="10"/>
      <c r="J6" s="10"/>
    </row>
    <row r="7" spans="1:10" x14ac:dyDescent="0.2">
      <c r="A7" s="40" t="s">
        <v>7</v>
      </c>
      <c r="B7">
        <v>1</v>
      </c>
      <c r="C7" s="10"/>
      <c r="F7" s="10"/>
      <c r="G7" s="10"/>
      <c r="H7" s="10"/>
      <c r="I7" s="10"/>
      <c r="J7" s="10"/>
    </row>
    <row r="8" spans="1:10" x14ac:dyDescent="0.2">
      <c r="A8" s="40" t="s">
        <v>8</v>
      </c>
      <c r="B8">
        <v>1</v>
      </c>
      <c r="C8" s="10"/>
      <c r="F8" s="10"/>
      <c r="G8" s="10"/>
      <c r="H8" s="10"/>
      <c r="I8" s="10"/>
      <c r="J8" s="10"/>
    </row>
    <row r="9" spans="1:10" x14ac:dyDescent="0.2">
      <c r="A9" s="40" t="s">
        <v>9</v>
      </c>
      <c r="B9">
        <v>1</v>
      </c>
      <c r="C9" s="10"/>
      <c r="F9" s="10"/>
      <c r="G9" s="10"/>
      <c r="H9" s="10"/>
      <c r="I9" s="10"/>
      <c r="J9" s="10"/>
    </row>
    <row r="10" spans="1:10" x14ac:dyDescent="0.2">
      <c r="A10" s="40" t="s">
        <v>10</v>
      </c>
      <c r="B10">
        <v>1</v>
      </c>
      <c r="C10" s="10"/>
      <c r="F10" s="10"/>
      <c r="G10" s="10"/>
      <c r="H10" s="10"/>
      <c r="I10" s="10"/>
      <c r="J10" s="10"/>
    </row>
    <row r="11" spans="1:10" x14ac:dyDescent="0.2">
      <c r="A11" s="40" t="s">
        <v>11</v>
      </c>
      <c r="B11">
        <v>1</v>
      </c>
      <c r="C11" s="10"/>
      <c r="F11" s="10"/>
      <c r="G11" s="10"/>
      <c r="H11" s="10"/>
      <c r="I11" s="10"/>
      <c r="J11" s="10"/>
    </row>
    <row r="12" spans="1:10" x14ac:dyDescent="0.2">
      <c r="A12" s="40" t="s">
        <v>12</v>
      </c>
      <c r="B12">
        <v>1</v>
      </c>
      <c r="C12" s="10"/>
      <c r="F12" s="10"/>
      <c r="G12" s="10"/>
      <c r="H12" s="10"/>
      <c r="I12" s="10"/>
      <c r="J12" s="10"/>
    </row>
    <row r="13" spans="1:10" x14ac:dyDescent="0.2">
      <c r="A13" s="40" t="s">
        <v>13</v>
      </c>
      <c r="B13">
        <v>1</v>
      </c>
      <c r="C13" s="10"/>
      <c r="F13" s="10"/>
      <c r="G13" s="10"/>
      <c r="H13" s="10"/>
      <c r="I13" s="10"/>
      <c r="J13" s="10"/>
    </row>
    <row r="14" spans="1:10" x14ac:dyDescent="0.2">
      <c r="A14" s="40" t="s">
        <v>14</v>
      </c>
      <c r="B14">
        <v>1</v>
      </c>
      <c r="C14" s="10"/>
      <c r="F14" s="10"/>
      <c r="G14" s="10"/>
      <c r="H14" s="10"/>
      <c r="I14" s="10"/>
      <c r="J14" s="10"/>
    </row>
    <row r="15" spans="1:10" x14ac:dyDescent="0.2">
      <c r="A15" s="40" t="s">
        <v>15</v>
      </c>
      <c r="B15">
        <v>1</v>
      </c>
      <c r="C15" s="10"/>
      <c r="F15" s="10"/>
      <c r="G15" s="10"/>
      <c r="H15" s="10"/>
      <c r="I15" s="10"/>
      <c r="J15" s="10"/>
    </row>
    <row r="16" spans="1:10" x14ac:dyDescent="0.2">
      <c r="A16" s="40" t="s">
        <v>16</v>
      </c>
      <c r="B16">
        <v>1</v>
      </c>
      <c r="C16" s="10"/>
      <c r="F16" s="10"/>
      <c r="G16" s="10"/>
      <c r="H16" s="10"/>
      <c r="I16" s="10"/>
      <c r="J16" s="10"/>
    </row>
    <row r="17" spans="1:10" x14ac:dyDescent="0.2">
      <c r="A17" s="40" t="s">
        <v>17</v>
      </c>
      <c r="B17">
        <v>1</v>
      </c>
      <c r="C17" s="10"/>
      <c r="F17" s="10"/>
      <c r="G17" s="10"/>
      <c r="H17" s="10"/>
      <c r="I17" s="10"/>
      <c r="J17" s="10"/>
    </row>
    <row r="18" spans="1:10" x14ac:dyDescent="0.2">
      <c r="A18" s="40" t="s">
        <v>18</v>
      </c>
      <c r="B18">
        <v>1</v>
      </c>
      <c r="C18" s="10"/>
      <c r="F18" s="10"/>
      <c r="G18" s="10"/>
      <c r="H18" s="10"/>
      <c r="I18" s="10"/>
      <c r="J18" s="10"/>
    </row>
    <row r="19" spans="1:10" x14ac:dyDescent="0.2">
      <c r="A19" s="40" t="s">
        <v>19</v>
      </c>
      <c r="B19">
        <v>1</v>
      </c>
      <c r="C19" s="10"/>
      <c r="F19" s="10"/>
      <c r="G19" s="10"/>
      <c r="H19" s="10"/>
      <c r="I19" s="10"/>
      <c r="J19" s="10"/>
    </row>
    <row r="20" spans="1:10" x14ac:dyDescent="0.2">
      <c r="A20" s="40" t="s">
        <v>20</v>
      </c>
      <c r="B20">
        <v>1</v>
      </c>
      <c r="C20" s="10"/>
      <c r="F20" s="10"/>
      <c r="G20" s="10"/>
      <c r="H20" s="10"/>
      <c r="I20" s="10"/>
      <c r="J20" s="10"/>
    </row>
    <row r="21" spans="1:10" x14ac:dyDescent="0.2">
      <c r="A21" s="40" t="s">
        <v>21</v>
      </c>
      <c r="B21">
        <v>1</v>
      </c>
      <c r="C21" s="10"/>
      <c r="F21" s="10"/>
      <c r="G21" s="10"/>
      <c r="H21" s="10"/>
      <c r="I21" s="10"/>
      <c r="J21" s="10"/>
    </row>
    <row r="22" spans="1:10" ht="30" customHeight="1" x14ac:dyDescent="0.2">
      <c r="A22" s="40" t="s">
        <v>22</v>
      </c>
      <c r="B22">
        <v>1</v>
      </c>
      <c r="C22" s="13"/>
      <c r="F22" s="13"/>
      <c r="G22" s="13"/>
      <c r="H22" s="10"/>
      <c r="I22" s="10"/>
      <c r="J22" s="10"/>
    </row>
    <row r="23" spans="1:10" x14ac:dyDescent="0.2">
      <c r="A23" s="40" t="s">
        <v>23</v>
      </c>
      <c r="B23">
        <v>1</v>
      </c>
      <c r="C23" s="14"/>
      <c r="F23" s="14"/>
      <c r="G23" s="10"/>
      <c r="H23" s="10"/>
      <c r="I23" s="10"/>
      <c r="J23" s="10"/>
    </row>
    <row r="24" spans="1:10" x14ac:dyDescent="0.2">
      <c r="A24" s="40" t="s">
        <v>24</v>
      </c>
      <c r="B24">
        <v>1</v>
      </c>
      <c r="C24" s="14"/>
      <c r="F24" s="14"/>
      <c r="G24" s="10"/>
      <c r="H24" s="10"/>
      <c r="I24" s="10"/>
      <c r="J24" s="10"/>
    </row>
    <row r="25" spans="1:10" x14ac:dyDescent="0.2">
      <c r="A25" s="40" t="s">
        <v>25</v>
      </c>
      <c r="B25">
        <v>1</v>
      </c>
      <c r="C25" s="14"/>
      <c r="F25" s="14"/>
      <c r="G25" s="10"/>
      <c r="H25" s="10"/>
      <c r="I25" s="10"/>
      <c r="J25" s="10"/>
    </row>
    <row r="26" spans="1:10" x14ac:dyDescent="0.2">
      <c r="A26" s="40" t="s">
        <v>26</v>
      </c>
      <c r="B26">
        <v>1</v>
      </c>
      <c r="C26" s="14"/>
      <c r="F26" s="14"/>
      <c r="G26" s="10"/>
      <c r="H26" s="10"/>
      <c r="I26" s="10"/>
      <c r="J26" s="10"/>
    </row>
    <row r="27" spans="1:10" x14ac:dyDescent="0.2">
      <c r="A27" s="40" t="s">
        <v>27</v>
      </c>
      <c r="B27">
        <v>24</v>
      </c>
      <c r="C27" s="14"/>
      <c r="F27" s="14"/>
      <c r="G27" s="10"/>
      <c r="H27" s="10"/>
      <c r="I27" s="10"/>
      <c r="J27" s="10"/>
    </row>
    <row r="28" spans="1:10" x14ac:dyDescent="0.2">
      <c r="A28" s="10"/>
      <c r="B28" s="14"/>
      <c r="C28" s="14"/>
      <c r="D28" s="10"/>
      <c r="E28" s="14"/>
      <c r="F28" s="14"/>
      <c r="G28" s="10"/>
      <c r="H28" s="10"/>
      <c r="I28" s="10"/>
      <c r="J28" s="10"/>
    </row>
    <row r="29" spans="1:10" x14ac:dyDescent="0.2">
      <c r="A29" s="49" t="s">
        <v>28</v>
      </c>
      <c r="B29" s="50"/>
      <c r="C29" s="50"/>
      <c r="D29" s="10"/>
      <c r="E29" s="14"/>
      <c r="F29" s="14"/>
      <c r="G29" s="10"/>
      <c r="H29" s="10"/>
      <c r="I29" s="10"/>
      <c r="J29" s="10"/>
    </row>
    <row r="30" spans="1:10" x14ac:dyDescent="0.2">
      <c r="A30" s="10"/>
      <c r="B30" s="14"/>
      <c r="C30" s="14"/>
      <c r="D30" s="10"/>
      <c r="E30" s="14"/>
      <c r="F30" s="14"/>
      <c r="G30" s="10"/>
      <c r="H30" s="10"/>
      <c r="I30" s="10"/>
      <c r="J30" s="10"/>
    </row>
    <row r="31" spans="1:10" x14ac:dyDescent="0.2">
      <c r="A31" s="10"/>
      <c r="B31" s="14"/>
      <c r="C31" s="14"/>
      <c r="D31" s="10"/>
      <c r="E31" s="14"/>
      <c r="F31" s="14"/>
      <c r="G31" s="10"/>
      <c r="H31" s="10"/>
      <c r="I31" s="10"/>
      <c r="J31" s="10"/>
    </row>
    <row r="32" spans="1:10" x14ac:dyDescent="0.2">
      <c r="A32" s="10"/>
      <c r="B32" s="14"/>
      <c r="C32" s="14"/>
      <c r="D32" s="10"/>
      <c r="E32" s="14"/>
      <c r="F32" s="14"/>
      <c r="G32" s="10"/>
      <c r="H32" s="10"/>
      <c r="I32" s="10"/>
      <c r="J32" s="10"/>
    </row>
    <row r="33" spans="1:10" x14ac:dyDescent="0.2">
      <c r="A33" s="37" t="s">
        <v>29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28" customHeight="1" x14ac:dyDescent="0.2">
      <c r="A34" s="41" t="s">
        <v>2</v>
      </c>
      <c r="B34" s="41" t="s">
        <v>30</v>
      </c>
      <c r="C34" s="41" t="s">
        <v>31</v>
      </c>
      <c r="D34" s="41" t="s">
        <v>32</v>
      </c>
      <c r="E34" s="41" t="s">
        <v>33</v>
      </c>
      <c r="F34" s="44" t="s">
        <v>34</v>
      </c>
      <c r="G34" s="45" t="s">
        <v>35</v>
      </c>
    </row>
    <row r="35" spans="1:10" x14ac:dyDescent="0.2">
      <c r="A35" s="40" t="s">
        <v>36</v>
      </c>
      <c r="B35">
        <v>679</v>
      </c>
      <c r="C35">
        <v>686</v>
      </c>
      <c r="D35">
        <v>700</v>
      </c>
      <c r="E35">
        <v>700</v>
      </c>
      <c r="F35" s="38" t="str">
        <f t="shared" ref="F35:F44" si="0">IF(E35&lt;&gt;D35,"Yes","No")</f>
        <v>No</v>
      </c>
      <c r="G35" s="39" t="str">
        <f t="shared" ref="G35:G44" si="1">IF(C35&lt;&gt;B35,"Yes","No")</f>
        <v>Yes</v>
      </c>
    </row>
    <row r="36" spans="1:10" x14ac:dyDescent="0.2">
      <c r="A36" s="40" t="s">
        <v>37</v>
      </c>
      <c r="B36">
        <v>137</v>
      </c>
      <c r="C36">
        <v>150</v>
      </c>
      <c r="D36">
        <v>150</v>
      </c>
      <c r="E36">
        <v>150</v>
      </c>
      <c r="F36" s="38" t="str">
        <f t="shared" si="0"/>
        <v>No</v>
      </c>
      <c r="G36" s="39" t="str">
        <f t="shared" si="1"/>
        <v>Yes</v>
      </c>
    </row>
    <row r="37" spans="1:10" x14ac:dyDescent="0.2">
      <c r="A37" s="40" t="s">
        <v>38</v>
      </c>
      <c r="B37">
        <v>67</v>
      </c>
      <c r="C37">
        <v>67</v>
      </c>
      <c r="D37">
        <v>70</v>
      </c>
      <c r="E37">
        <v>70</v>
      </c>
      <c r="F37" s="38" t="str">
        <f t="shared" si="0"/>
        <v>No</v>
      </c>
      <c r="G37" s="38" t="str">
        <f t="shared" si="1"/>
        <v>No</v>
      </c>
    </row>
    <row r="38" spans="1:10" x14ac:dyDescent="0.2">
      <c r="A38" s="40" t="s">
        <v>39</v>
      </c>
      <c r="B38">
        <v>465</v>
      </c>
      <c r="C38">
        <v>465</v>
      </c>
      <c r="D38">
        <v>500</v>
      </c>
      <c r="E38">
        <v>500</v>
      </c>
      <c r="F38" s="38" t="str">
        <f t="shared" si="0"/>
        <v>No</v>
      </c>
      <c r="G38" s="38" t="str">
        <f t="shared" si="1"/>
        <v>No</v>
      </c>
    </row>
    <row r="39" spans="1:10" x14ac:dyDescent="0.2">
      <c r="A39" s="40" t="s">
        <v>40</v>
      </c>
      <c r="B39">
        <v>22</v>
      </c>
      <c r="C39">
        <v>29</v>
      </c>
      <c r="D39">
        <v>30</v>
      </c>
      <c r="E39">
        <v>30</v>
      </c>
      <c r="F39" s="38" t="str">
        <f t="shared" si="0"/>
        <v>No</v>
      </c>
      <c r="G39" s="39" t="str">
        <f t="shared" si="1"/>
        <v>Yes</v>
      </c>
    </row>
    <row r="40" spans="1:10" x14ac:dyDescent="0.2">
      <c r="A40" s="40" t="s">
        <v>41</v>
      </c>
      <c r="B40">
        <v>54</v>
      </c>
      <c r="C40">
        <v>79</v>
      </c>
      <c r="D40">
        <v>80</v>
      </c>
      <c r="E40">
        <v>80</v>
      </c>
      <c r="F40" s="38" t="str">
        <f t="shared" si="0"/>
        <v>No</v>
      </c>
      <c r="G40" s="39" t="str">
        <f t="shared" si="1"/>
        <v>Yes</v>
      </c>
    </row>
    <row r="41" spans="1:10" x14ac:dyDescent="0.2">
      <c r="A41" s="40" t="s">
        <v>42</v>
      </c>
      <c r="B41">
        <v>490</v>
      </c>
      <c r="C41">
        <v>500</v>
      </c>
      <c r="D41">
        <v>500</v>
      </c>
      <c r="E41">
        <v>500</v>
      </c>
      <c r="F41" s="38" t="str">
        <f t="shared" si="0"/>
        <v>No</v>
      </c>
      <c r="G41" s="39" t="str">
        <f t="shared" si="1"/>
        <v>Yes</v>
      </c>
    </row>
    <row r="42" spans="1:10" x14ac:dyDescent="0.2">
      <c r="A42" s="40" t="s">
        <v>43</v>
      </c>
      <c r="B42">
        <v>500</v>
      </c>
      <c r="C42">
        <v>950</v>
      </c>
      <c r="D42">
        <v>1000</v>
      </c>
      <c r="E42">
        <v>1000</v>
      </c>
      <c r="F42" s="38" t="str">
        <f t="shared" si="0"/>
        <v>No</v>
      </c>
      <c r="G42" s="39" t="str">
        <f t="shared" si="1"/>
        <v>Yes</v>
      </c>
    </row>
    <row r="43" spans="1:10" x14ac:dyDescent="0.2">
      <c r="A43" s="40" t="s">
        <v>44</v>
      </c>
      <c r="B43">
        <v>37</v>
      </c>
      <c r="C43">
        <v>37</v>
      </c>
      <c r="D43">
        <v>50</v>
      </c>
      <c r="E43">
        <v>50</v>
      </c>
      <c r="F43" s="38" t="str">
        <f t="shared" si="0"/>
        <v>No</v>
      </c>
      <c r="G43" s="38" t="str">
        <f t="shared" si="1"/>
        <v>No</v>
      </c>
    </row>
    <row r="44" spans="1:10" x14ac:dyDescent="0.2">
      <c r="A44" s="40" t="s">
        <v>45</v>
      </c>
      <c r="B44">
        <v>672</v>
      </c>
      <c r="C44">
        <v>760</v>
      </c>
      <c r="D44">
        <v>800</v>
      </c>
      <c r="E44">
        <v>800</v>
      </c>
      <c r="F44" s="38" t="str">
        <f t="shared" si="0"/>
        <v>No</v>
      </c>
      <c r="G44" s="39" t="str">
        <f t="shared" si="1"/>
        <v>Yes</v>
      </c>
    </row>
    <row r="45" spans="1:10" x14ac:dyDescent="0.2">
      <c r="A45" s="40" t="s">
        <v>27</v>
      </c>
      <c r="B45">
        <v>22</v>
      </c>
      <c r="C45">
        <v>950</v>
      </c>
      <c r="D45">
        <v>30</v>
      </c>
      <c r="E45">
        <v>1000</v>
      </c>
    </row>
    <row r="46" spans="1:10" x14ac:dyDescent="0.2">
      <c r="A46" s="10"/>
      <c r="B46" s="10"/>
      <c r="C46" s="10"/>
      <c r="D46" s="10"/>
      <c r="E46" s="10"/>
      <c r="F46" s="10"/>
      <c r="G46" s="10"/>
      <c r="J46" s="10"/>
    </row>
    <row r="47" spans="1:10" ht="19" customHeight="1" x14ac:dyDescent="0.25">
      <c r="A47" s="46" t="s">
        <v>46</v>
      </c>
      <c r="B47" s="47">
        <f>COUNTIF(F35:F44,"Yes")</f>
        <v>0</v>
      </c>
      <c r="C47" s="48" t="s">
        <v>47</v>
      </c>
      <c r="D47" s="10"/>
      <c r="E47" s="10"/>
      <c r="F47" s="10"/>
      <c r="G47" s="10"/>
      <c r="J47" s="10"/>
    </row>
    <row r="48" spans="1:10" ht="19" customHeight="1" x14ac:dyDescent="0.25">
      <c r="A48" s="46" t="s">
        <v>48</v>
      </c>
      <c r="B48" s="47">
        <f>COUNTIF(G35:G44,"Yes")</f>
        <v>7</v>
      </c>
      <c r="C48" s="48" t="s">
        <v>49</v>
      </c>
      <c r="D48" s="10"/>
      <c r="E48" s="10"/>
      <c r="F48" s="10"/>
      <c r="G48" s="10"/>
      <c r="J48" s="10"/>
    </row>
    <row r="49" spans="1:10" x14ac:dyDescent="0.2">
      <c r="A49" s="10"/>
      <c r="B49" s="10"/>
      <c r="C49" s="10"/>
      <c r="D49" s="10"/>
      <c r="E49" s="10"/>
      <c r="F49" s="10"/>
      <c r="G49" s="10"/>
      <c r="J49" s="10"/>
    </row>
    <row r="50" spans="1:10" x14ac:dyDescent="0.2">
      <c r="A50" s="10"/>
      <c r="B50" s="10"/>
      <c r="C50" s="10"/>
      <c r="D50" s="10"/>
      <c r="E50" s="10"/>
      <c r="F50" s="10"/>
      <c r="G50" s="10"/>
      <c r="J50" s="10"/>
    </row>
    <row r="51" spans="1:10" x14ac:dyDescent="0.2">
      <c r="A51" s="10"/>
      <c r="B51" s="10"/>
      <c r="C51" s="10"/>
      <c r="D51" s="10"/>
      <c r="E51" s="10"/>
      <c r="F51" s="10"/>
      <c r="G51" s="10"/>
      <c r="J51" s="10"/>
    </row>
    <row r="52" spans="1:10" x14ac:dyDescent="0.2">
      <c r="A52" s="10"/>
      <c r="B52" s="10"/>
      <c r="C52" s="10"/>
      <c r="D52" s="10"/>
      <c r="E52" s="10"/>
      <c r="F52" s="10"/>
      <c r="G52" s="10"/>
      <c r="J52" s="10"/>
    </row>
    <row r="53" spans="1:10" x14ac:dyDescent="0.2">
      <c r="A53" s="10"/>
      <c r="B53" s="10"/>
      <c r="C53" s="10"/>
      <c r="D53" s="10"/>
      <c r="E53" s="10"/>
      <c r="F53" s="10"/>
      <c r="G53" s="10"/>
      <c r="J53" s="10"/>
    </row>
    <row r="54" spans="1:10" x14ac:dyDescent="0.2">
      <c r="A54" s="10"/>
      <c r="B54" s="10"/>
      <c r="C54" s="10"/>
      <c r="D54" s="10"/>
      <c r="E54" s="10"/>
      <c r="F54" s="10"/>
      <c r="G54" s="10"/>
      <c r="J54" s="10"/>
    </row>
    <row r="55" spans="1:10" x14ac:dyDescent="0.2">
      <c r="A55" s="10"/>
      <c r="B55" s="10"/>
      <c r="C55" s="10"/>
      <c r="D55" s="10"/>
      <c r="E55" s="10"/>
      <c r="F55" s="10"/>
      <c r="G55" s="10"/>
      <c r="J55" s="10"/>
    </row>
    <row r="56" spans="1:10" x14ac:dyDescent="0.2">
      <c r="A56" s="10"/>
      <c r="B56" s="10"/>
      <c r="C56" s="10"/>
      <c r="D56" s="10"/>
      <c r="E56" s="10"/>
      <c r="F56" s="10"/>
      <c r="G56" s="10"/>
      <c r="J56" s="10"/>
    </row>
    <row r="57" spans="1:10" x14ac:dyDescent="0.2">
      <c r="A57" s="10"/>
      <c r="B57" s="10"/>
      <c r="C57" s="10"/>
      <c r="D57" s="10"/>
      <c r="E57" s="10"/>
      <c r="F57" s="10"/>
      <c r="G57" s="10"/>
      <c r="J57" s="10"/>
    </row>
    <row r="58" spans="1:10" x14ac:dyDescent="0.2">
      <c r="A58" s="10"/>
      <c r="B58" s="10"/>
      <c r="C58" s="10"/>
      <c r="D58" s="10"/>
      <c r="E58" s="10"/>
      <c r="F58" s="10"/>
      <c r="G58" s="10"/>
      <c r="J58" s="10"/>
    </row>
    <row r="59" spans="1:10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spans="1:10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spans="1:10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spans="1:10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spans="1:10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3" spans="1:10" x14ac:dyDescent="0.2">
      <c r="A73" s="12"/>
      <c r="B73" s="11"/>
      <c r="C73" s="11"/>
      <c r="D73" s="11"/>
    </row>
    <row r="74" spans="1:10" x14ac:dyDescent="0.2">
      <c r="A74" s="12"/>
      <c r="B74" s="11"/>
      <c r="C74" s="11"/>
      <c r="D74" s="11"/>
    </row>
    <row r="75" spans="1:10" x14ac:dyDescent="0.2">
      <c r="A75" s="12"/>
      <c r="B75" s="11"/>
      <c r="C75" s="11"/>
      <c r="D75" s="11"/>
    </row>
  </sheetData>
  <mergeCells count="1"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Data</vt:lpstr>
      <vt:lpstr>Q1-Solution</vt:lpstr>
      <vt:lpstr>Q2-RegionAnalysis</vt:lpstr>
      <vt:lpstr>Q4-DiscountFormulas</vt:lpstr>
      <vt:lpstr>Q3-PivotAnalysis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Adarsha SVH</cp:lastModifiedBy>
  <dcterms:created xsi:type="dcterms:W3CDTF">2026-09-24T08:38:04Z</dcterms:created>
  <dcterms:modified xsi:type="dcterms:W3CDTF">2026-09-28T13:49:20Z</dcterms:modified>
</cp:coreProperties>
</file>