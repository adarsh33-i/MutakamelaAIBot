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BC Alloc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b val="1"/>
      <color rgb="00FFFFFF"/>
      <sz val="11"/>
    </font>
    <font>
      <name val="Arial"/>
      <b val="1"/>
      <sz val="11"/>
    </font>
    <font>
      <name val="Arial"/>
      <sz val="11"/>
    </font>
  </fonts>
  <fills count="6">
    <fill>
      <patternFill/>
    </fill>
    <fill>
      <patternFill patternType="gray125"/>
    </fill>
    <fill>
      <patternFill patternType="solid">
        <fgColor rgb="0000B050"/>
        <bgColor rgb="0000B050"/>
      </patternFill>
    </fill>
    <fill>
      <patternFill patternType="solid">
        <fgColor rgb="00FFFF00"/>
        <bgColor rgb="00FFFF00"/>
      </patternFill>
    </fill>
    <fill>
      <patternFill patternType="solid">
        <fgColor rgb="004472C4"/>
        <bgColor rgb="004472C4"/>
      </patternFill>
    </fill>
    <fill>
      <patternFill patternType="solid">
        <fgColor rgb="00ED7D31"/>
        <bgColor rgb="00ED7D31"/>
      </patternFill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  <xf numFmtId="0" fontId="0" fillId="0" borderId="8" pivotButton="0" quotePrefix="0" xfId="0"/>
    <xf numFmtId="0" fontId="3" fillId="3" borderId="1" applyAlignment="1" pivotButton="0" quotePrefix="0" xfId="0">
      <alignment horizontal="center"/>
    </xf>
    <xf numFmtId="0" fontId="4" fillId="0" borderId="1" pivotButton="0" quotePrefix="0" xfId="0"/>
    <xf numFmtId="4" fontId="4" fillId="0" borderId="1" pivotButton="0" quotePrefix="0" xfId="0"/>
    <xf numFmtId="0" fontId="3" fillId="0" borderId="1" pivotButton="0" quotePrefix="0" xfId="0"/>
    <xf numFmtId="4" fontId="3" fillId="0" borderId="1" pivotButton="0" quotePrefix="0" xfId="0"/>
    <xf numFmtId="0" fontId="2" fillId="4" borderId="1" applyAlignment="1" pivotButton="0" quotePrefix="0" xfId="0">
      <alignment horizontal="center" wrapText="1"/>
    </xf>
    <xf numFmtId="0" fontId="2" fillId="5" borderId="1" applyAlignment="1" pivotButton="0" quotePrefix="0" xfId="0">
      <alignment horizont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cols>
    <col width="22" customWidth="1" min="1" max="1"/>
    <col width="20" customWidth="1" min="2" max="2"/>
    <col width="22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TABLE 1: Activity Cost Pool Data</t>
        </is>
      </c>
    </row>
    <row r="2">
      <c r="A2" s="2" t="inlineStr">
        <is>
          <t>Activity Cost Pool</t>
        </is>
      </c>
      <c r="B2" s="2" t="inlineStr">
        <is>
          <t>Estimated Overhead</t>
        </is>
      </c>
      <c r="C2" s="2" t="inlineStr">
        <is>
          <t>Cost Driver</t>
        </is>
      </c>
      <c r="D2" s="3" t="inlineStr">
        <is>
          <t>Expected Activity</t>
        </is>
      </c>
      <c r="E2" s="4" t="n"/>
      <c r="F2" s="5" t="n"/>
    </row>
    <row r="3">
      <c r="A3" s="6" t="n"/>
      <c r="B3" s="6" t="n"/>
      <c r="C3" s="6" t="n"/>
      <c r="D3" s="7" t="inlineStr">
        <is>
          <t>Standard</t>
        </is>
      </c>
      <c r="E3" s="7" t="inlineStr">
        <is>
          <t>Speciality</t>
        </is>
      </c>
      <c r="F3" s="7" t="inlineStr">
        <is>
          <t>Total</t>
        </is>
      </c>
    </row>
    <row r="4">
      <c r="A4" s="8" t="inlineStr">
        <is>
          <t>Purchasing</t>
        </is>
      </c>
      <c r="B4" s="9" t="n">
        <v>120000</v>
      </c>
      <c r="C4" s="8" t="inlineStr">
        <is>
          <t>Number of Purchase Orders</t>
        </is>
      </c>
      <c r="D4" s="8" t="n">
        <v>82</v>
      </c>
      <c r="E4" s="8" t="n">
        <v>118</v>
      </c>
      <c r="F4" s="8">
        <f>D4+E4</f>
        <v/>
      </c>
    </row>
    <row r="5">
      <c r="A5" s="8" t="inlineStr">
        <is>
          <t>Production Steps</t>
        </is>
      </c>
      <c r="B5" s="9" t="n">
        <v>202500</v>
      </c>
      <c r="C5" s="8" t="inlineStr">
        <is>
          <t>Number of Setups</t>
        </is>
      </c>
      <c r="D5" s="8" t="n">
        <v>50</v>
      </c>
      <c r="E5" s="8" t="n">
        <v>200</v>
      </c>
      <c r="F5" s="8">
        <f>D5+E5</f>
        <v/>
      </c>
    </row>
    <row r="6">
      <c r="A6" s="8" t="inlineStr">
        <is>
          <t>Inspection</t>
        </is>
      </c>
      <c r="B6" s="9" t="n">
        <v>160000</v>
      </c>
      <c r="C6" s="8" t="inlineStr">
        <is>
          <t>Inspection Hours</t>
        </is>
      </c>
      <c r="D6" s="8" t="n">
        <v>300</v>
      </c>
      <c r="E6" s="8" t="n">
        <v>500</v>
      </c>
      <c r="F6" s="8">
        <f>D6+E6</f>
        <v/>
      </c>
    </row>
    <row r="7">
      <c r="A7" s="8" t="inlineStr">
        <is>
          <t>Assembling</t>
        </is>
      </c>
      <c r="B7" s="9" t="n">
        <v>80000</v>
      </c>
      <c r="C7" s="8" t="inlineStr">
        <is>
          <t>Assembly Hours</t>
        </is>
      </c>
      <c r="D7" s="8" t="n">
        <v>800</v>
      </c>
      <c r="E7" s="8" t="n">
        <v>800</v>
      </c>
      <c r="F7" s="8">
        <f>D7+E7</f>
        <v/>
      </c>
    </row>
    <row r="8">
      <c r="A8" s="8" t="inlineStr">
        <is>
          <t>Machine Maintenance</t>
        </is>
      </c>
      <c r="B8" s="9" t="n">
        <v>300000</v>
      </c>
      <c r="C8" s="8" t="inlineStr">
        <is>
          <t>Machine Hours</t>
        </is>
      </c>
      <c r="D8" s="8" t="n">
        <v>5000</v>
      </c>
      <c r="E8" s="8" t="n">
        <v>5000</v>
      </c>
      <c r="F8" s="8">
        <f>D8+E8</f>
        <v/>
      </c>
    </row>
    <row r="9">
      <c r="A9" s="10" t="inlineStr">
        <is>
          <t>Total Overhead</t>
        </is>
      </c>
      <c r="B9" s="11">
        <f>SUM(B4:B8)</f>
        <v/>
      </c>
    </row>
    <row r="11">
      <c r="A11" s="1" t="inlineStr">
        <is>
          <t>TABLE 2: Activity Rate Calculation</t>
        </is>
      </c>
    </row>
    <row r="12">
      <c r="A12" s="12" t="inlineStr">
        <is>
          <t>Activity Cost Pool</t>
        </is>
      </c>
      <c r="B12" s="12" t="inlineStr">
        <is>
          <t>Estimated Overhead (A)</t>
        </is>
      </c>
      <c r="C12" s="12" t="inlineStr">
        <is>
          <t>Total Activity (B)</t>
        </is>
      </c>
      <c r="D12" s="12" t="inlineStr">
        <is>
          <t>Activity Rate (A/B)</t>
        </is>
      </c>
    </row>
    <row r="13">
      <c r="A13" s="8">
        <f>A4</f>
        <v/>
      </c>
      <c r="B13" s="9">
        <f>B4</f>
        <v/>
      </c>
      <c r="C13" s="8">
        <f>F4</f>
        <v/>
      </c>
      <c r="D13" s="9">
        <f>B13/C13</f>
        <v/>
      </c>
    </row>
    <row r="14">
      <c r="A14" s="8">
        <f>A5</f>
        <v/>
      </c>
      <c r="B14" s="9">
        <f>B5</f>
        <v/>
      </c>
      <c r="C14" s="8">
        <f>F5</f>
        <v/>
      </c>
      <c r="D14" s="9">
        <f>B14/C14</f>
        <v/>
      </c>
    </row>
    <row r="15">
      <c r="A15" s="8">
        <f>A6</f>
        <v/>
      </c>
      <c r="B15" s="9">
        <f>B6</f>
        <v/>
      </c>
      <c r="C15" s="8">
        <f>F6</f>
        <v/>
      </c>
      <c r="D15" s="9">
        <f>B15/C15</f>
        <v/>
      </c>
    </row>
    <row r="16">
      <c r="A16" s="8">
        <f>A7</f>
        <v/>
      </c>
      <c r="B16" s="9">
        <f>B7</f>
        <v/>
      </c>
      <c r="C16" s="8">
        <f>F7</f>
        <v/>
      </c>
      <c r="D16" s="9">
        <f>B16/C16</f>
        <v/>
      </c>
    </row>
    <row r="17">
      <c r="A17" s="8">
        <f>A8</f>
        <v/>
      </c>
      <c r="B17" s="9">
        <f>B8</f>
        <v/>
      </c>
      <c r="C17" s="8">
        <f>F8</f>
        <v/>
      </c>
      <c r="D17" s="9">
        <f>B17/C17</f>
        <v/>
      </c>
    </row>
    <row r="19">
      <c r="A19" s="1" t="inlineStr">
        <is>
          <t>TABLE 3: Overhead Allocation to Products</t>
        </is>
      </c>
    </row>
    <row r="20">
      <c r="A20" s="13" t="inlineStr">
        <is>
          <t>Activity Cost Pool</t>
        </is>
      </c>
      <c r="B20" s="13" t="inlineStr">
        <is>
          <t>Activity Rate</t>
        </is>
      </c>
      <c r="C20" s="13" t="inlineStr">
        <is>
          <t>Standard Activity</t>
        </is>
      </c>
      <c r="D20" s="13" t="inlineStr">
        <is>
          <t>Standard Overhead</t>
        </is>
      </c>
      <c r="E20" s="13" t="inlineStr">
        <is>
          <t>Speciality Activity</t>
        </is>
      </c>
      <c r="F20" s="13" t="inlineStr">
        <is>
          <t>Speciality Overhead</t>
        </is>
      </c>
    </row>
    <row r="21">
      <c r="A21" s="8">
        <f>A4</f>
        <v/>
      </c>
      <c r="B21" s="9">
        <f>D13</f>
        <v/>
      </c>
      <c r="C21" s="8">
        <f>D4</f>
        <v/>
      </c>
      <c r="D21" s="9">
        <f>B21*C21</f>
        <v/>
      </c>
      <c r="E21" s="8">
        <f>E4</f>
        <v/>
      </c>
      <c r="F21" s="9">
        <f>B21*E21</f>
        <v/>
      </c>
    </row>
    <row r="22">
      <c r="A22" s="8">
        <f>A5</f>
        <v/>
      </c>
      <c r="B22" s="9">
        <f>D14</f>
        <v/>
      </c>
      <c r="C22" s="8">
        <f>D5</f>
        <v/>
      </c>
      <c r="D22" s="9">
        <f>B22*C22</f>
        <v/>
      </c>
      <c r="E22" s="8">
        <f>E5</f>
        <v/>
      </c>
      <c r="F22" s="9">
        <f>B22*E22</f>
        <v/>
      </c>
    </row>
    <row r="23">
      <c r="A23" s="8">
        <f>A6</f>
        <v/>
      </c>
      <c r="B23" s="9">
        <f>D15</f>
        <v/>
      </c>
      <c r="C23" s="8">
        <f>D6</f>
        <v/>
      </c>
      <c r="D23" s="9">
        <f>B23*C23</f>
        <v/>
      </c>
      <c r="E23" s="8">
        <f>E6</f>
        <v/>
      </c>
      <c r="F23" s="9">
        <f>B23*E23</f>
        <v/>
      </c>
    </row>
    <row r="24">
      <c r="A24" s="8">
        <f>A7</f>
        <v/>
      </c>
      <c r="B24" s="9">
        <f>D16</f>
        <v/>
      </c>
      <c r="C24" s="8">
        <f>D7</f>
        <v/>
      </c>
      <c r="D24" s="9">
        <f>B24*C24</f>
        <v/>
      </c>
      <c r="E24" s="8">
        <f>E7</f>
        <v/>
      </c>
      <c r="F24" s="9">
        <f>B24*E24</f>
        <v/>
      </c>
    </row>
    <row r="25">
      <c r="A25" s="8">
        <f>A8</f>
        <v/>
      </c>
      <c r="B25" s="9">
        <f>D17</f>
        <v/>
      </c>
      <c r="C25" s="8">
        <f>D8</f>
        <v/>
      </c>
      <c r="D25" s="9">
        <f>B25*C25</f>
        <v/>
      </c>
      <c r="E25" s="8">
        <f>E8</f>
        <v/>
      </c>
      <c r="F25" s="9">
        <f>B25*E25</f>
        <v/>
      </c>
    </row>
    <row r="26">
      <c r="A26" s="10" t="inlineStr">
        <is>
          <t>Total Overhead Allocated</t>
        </is>
      </c>
      <c r="D26" s="11">
        <f>SUM(D21:D25)</f>
        <v/>
      </c>
      <c r="F26" s="11">
        <f>SUM(F21:F25)</f>
        <v/>
      </c>
    </row>
    <row r="27">
      <c r="A27" s="10" t="inlineStr">
        <is>
          <t>Grand Total</t>
        </is>
      </c>
      <c r="D27" s="11">
        <f>D26+F26</f>
        <v/>
      </c>
    </row>
  </sheetData>
  <mergeCells count="4">
    <mergeCell ref="D2:F2"/>
    <mergeCell ref="B2:B3"/>
    <mergeCell ref="C2:C3"/>
    <mergeCell ref="A2:A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2026-09-26T09:19:46Z</dcterms:created>
  <dcterms:modified xmlns:dcterms="http://purl.org/dc/terms/" xmlns:xsi="http://www.w3.org/2001/XMLSchema-instance" xsi:type="dcterms:W3CDTF">2026-09-26T09:19:46Z</dcterms:modified>
</cp:coreProperties>
</file>