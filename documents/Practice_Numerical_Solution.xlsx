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 Nume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00B050"/>
        <bgColor rgb="0000B050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0" fillId="5" borderId="1" pivotButton="0" quotePrefix="0" xfId="0"/>
    <xf numFmtId="3" fontId="0" fillId="5" borderId="1" pivotButton="0" quotePrefix="0" xfId="0"/>
    <xf numFmtId="0" fontId="3" fillId="2" borderId="1" applyAlignment="1" pivotButton="0" quotePrefix="0" xfId="0">
      <alignment horizontal="center" wrapText="1"/>
    </xf>
    <xf numFmtId="3" fontId="0" fillId="0" borderId="1" pivotButton="0" quotePrefix="0" xfId="0"/>
    <xf numFmtId="4" fontId="0" fillId="0" borderId="1" pivotButton="0" quotePrefix="0" xfId="0"/>
    <xf numFmtId="0" fontId="3" fillId="6" borderId="1" applyAlignment="1" pivotButton="0" quotePrefix="0" xfId="0">
      <alignment horizontal="center" wrapText="1"/>
    </xf>
    <xf numFmtId="0" fontId="2" fillId="7" borderId="1" pivotButton="0" quotePrefix="0" xfId="0"/>
    <xf numFmtId="0" fontId="0" fillId="7" borderId="1" pivotButton="0" quotePrefix="0" xfId="0"/>
    <xf numFmtId="3" fontId="2" fillId="7" borderId="1" pivotButton="0" quotePrefix="0" xfId="0"/>
    <xf numFmtId="0" fontId="3" fillId="2" borderId="1" pivotButton="0" quotePrefix="0" xfId="0"/>
    <xf numFmtId="164" fontId="0" fillId="0" borderId="1" pivotButton="0" quotePrefix="0" xfId="0"/>
    <xf numFmtId="164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Practice Numerical: ABC Costing for Product X and Product Y</t>
        </is>
      </c>
    </row>
    <row r="3">
      <c r="A3" s="2" t="inlineStr">
        <is>
          <t>TABLE 1: Activity Cost Data</t>
        </is>
      </c>
    </row>
    <row r="4">
      <c r="A4" s="3" t="inlineStr">
        <is>
          <t>Activity</t>
        </is>
      </c>
      <c r="B4" s="3" t="inlineStr">
        <is>
          <t>Total Cost (₹)</t>
        </is>
      </c>
      <c r="C4" s="3" t="inlineStr">
        <is>
          <t>Cost Driver</t>
        </is>
      </c>
    </row>
    <row r="5">
      <c r="A5" s="4" t="inlineStr">
        <is>
          <t>Machine Setup</t>
        </is>
      </c>
      <c r="B5" s="5" t="n">
        <v>160000</v>
      </c>
      <c r="C5" s="4" t="inlineStr">
        <is>
          <t>No. of setups</t>
        </is>
      </c>
    </row>
    <row r="6">
      <c r="A6" s="4" t="inlineStr">
        <is>
          <t>Inventory Handling</t>
        </is>
      </c>
      <c r="B6" s="5" t="n">
        <v>90000</v>
      </c>
      <c r="C6" s="4" t="inlineStr">
        <is>
          <t>No. of material movements</t>
        </is>
      </c>
    </row>
    <row r="7">
      <c r="A7" s="4" t="inlineStr">
        <is>
          <t>Quality Supervision</t>
        </is>
      </c>
      <c r="B7" s="5" t="n">
        <v>140000</v>
      </c>
      <c r="C7" s="4" t="inlineStr">
        <is>
          <t>No. of inspections</t>
        </is>
      </c>
    </row>
    <row r="8">
      <c r="A8" s="4" t="inlineStr">
        <is>
          <t>Machine Maintenance</t>
        </is>
      </c>
      <c r="B8" s="5" t="n">
        <v>210000</v>
      </c>
      <c r="C8" s="4" t="inlineStr">
        <is>
          <t>Machine hours</t>
        </is>
      </c>
    </row>
    <row r="9">
      <c r="A9" s="6" t="inlineStr">
        <is>
          <t>Total</t>
        </is>
      </c>
      <c r="B9" s="7">
        <f>SUM(B5:B8)</f>
        <v/>
      </c>
      <c r="C9" s="8" t="n"/>
    </row>
    <row r="11">
      <c r="A11" s="2" t="inlineStr">
        <is>
          <t>TABLE 2: Cost Driver Usage</t>
        </is>
      </c>
    </row>
    <row r="12">
      <c r="A12" s="9" t="inlineStr">
        <is>
          <t>Cost Driver</t>
        </is>
      </c>
      <c r="B12" s="9" t="inlineStr">
        <is>
          <t>Product X</t>
        </is>
      </c>
      <c r="C12" s="9" t="inlineStr">
        <is>
          <t>Product Y</t>
        </is>
      </c>
      <c r="D12" s="9" t="inlineStr">
        <is>
          <t>Total</t>
        </is>
      </c>
    </row>
    <row r="13">
      <c r="A13" s="10" t="inlineStr">
        <is>
          <t>Setups</t>
        </is>
      </c>
      <c r="B13" s="10" t="n">
        <v>20</v>
      </c>
      <c r="C13" s="10" t="n">
        <v>20</v>
      </c>
      <c r="D13" s="11">
        <f>B13+C13</f>
        <v/>
      </c>
    </row>
    <row r="14">
      <c r="A14" s="10" t="inlineStr">
        <is>
          <t>Material movements</t>
        </is>
      </c>
      <c r="B14" s="10" t="n">
        <v>20</v>
      </c>
      <c r="C14" s="10" t="n">
        <v>30</v>
      </c>
      <c r="D14" s="11">
        <f>B14+C14</f>
        <v/>
      </c>
    </row>
    <row r="15">
      <c r="A15" s="10" t="inlineStr">
        <is>
          <t>Inspections</t>
        </is>
      </c>
      <c r="B15" s="10" t="n">
        <v>30</v>
      </c>
      <c r="C15" s="10" t="n">
        <v>10</v>
      </c>
      <c r="D15" s="11">
        <f>B15+C15</f>
        <v/>
      </c>
    </row>
    <row r="16">
      <c r="A16" s="10" t="inlineStr">
        <is>
          <t>Machine hours</t>
        </is>
      </c>
      <c r="B16" s="10" t="n">
        <v>800</v>
      </c>
      <c r="C16" s="10" t="n">
        <v>600</v>
      </c>
      <c r="D16" s="11">
        <f>B16+C16</f>
        <v/>
      </c>
    </row>
    <row r="18">
      <c r="A18" s="2" t="inlineStr">
        <is>
          <t>TABLE 3: Activity Rate Calculation</t>
        </is>
      </c>
    </row>
    <row r="19">
      <c r="A19" s="12" t="inlineStr">
        <is>
          <t>Activity</t>
        </is>
      </c>
      <c r="B19" s="12" t="inlineStr">
        <is>
          <t>Total Cost (A)</t>
        </is>
      </c>
      <c r="C19" s="12" t="inlineStr">
        <is>
          <t>Total Activity (B)</t>
        </is>
      </c>
      <c r="D19" s="12" t="inlineStr">
        <is>
          <t>Activity Rate (A÷B)</t>
        </is>
      </c>
    </row>
    <row r="20">
      <c r="A20" s="8" t="inlineStr">
        <is>
          <t>Machine Setup</t>
        </is>
      </c>
      <c r="B20" s="13">
        <f>B5</f>
        <v/>
      </c>
      <c r="C20" s="13">
        <f>D13</f>
        <v/>
      </c>
      <c r="D20" s="14">
        <f>B20/C20</f>
        <v/>
      </c>
    </row>
    <row r="21">
      <c r="A21" s="8" t="inlineStr">
        <is>
          <t>Inventory Handling</t>
        </is>
      </c>
      <c r="B21" s="13">
        <f>B6</f>
        <v/>
      </c>
      <c r="C21" s="13">
        <f>D14</f>
        <v/>
      </c>
      <c r="D21" s="14">
        <f>B21/C21</f>
        <v/>
      </c>
    </row>
    <row r="22">
      <c r="A22" s="8" t="inlineStr">
        <is>
          <t>Quality Supervision</t>
        </is>
      </c>
      <c r="B22" s="13">
        <f>B7</f>
        <v/>
      </c>
      <c r="C22" s="13">
        <f>D15</f>
        <v/>
      </c>
      <c r="D22" s="14">
        <f>B22/C22</f>
        <v/>
      </c>
    </row>
    <row r="23">
      <c r="A23" s="8" t="inlineStr">
        <is>
          <t>Machine Maintenance</t>
        </is>
      </c>
      <c r="B23" s="13">
        <f>B8</f>
        <v/>
      </c>
      <c r="C23" s="13">
        <f>D16</f>
        <v/>
      </c>
      <c r="D23" s="14">
        <f>B23/C23</f>
        <v/>
      </c>
    </row>
    <row r="25">
      <c r="A25" s="2" t="inlineStr">
        <is>
          <t>TABLE 4: Overhead Allocation to Products</t>
        </is>
      </c>
    </row>
    <row r="26">
      <c r="A26" s="15" t="inlineStr">
        <is>
          <t>Activity</t>
        </is>
      </c>
      <c r="B26" s="15" t="inlineStr">
        <is>
          <t>Rate</t>
        </is>
      </c>
      <c r="C26" s="15" t="inlineStr">
        <is>
          <t>Product X Qty</t>
        </is>
      </c>
      <c r="D26" s="15" t="inlineStr">
        <is>
          <t>Product X Cost</t>
        </is>
      </c>
      <c r="E26" s="15" t="inlineStr">
        <is>
          <t>Product Y Qty</t>
        </is>
      </c>
      <c r="F26" s="15" t="inlineStr">
        <is>
          <t>Product Y Cost</t>
        </is>
      </c>
    </row>
    <row r="27">
      <c r="A27" s="8" t="inlineStr">
        <is>
          <t>Machine Setup</t>
        </is>
      </c>
      <c r="B27" s="14">
        <f>D20</f>
        <v/>
      </c>
      <c r="C27" s="8">
        <f>B13</f>
        <v/>
      </c>
      <c r="D27" s="13">
        <f>B27*C27</f>
        <v/>
      </c>
      <c r="E27" s="8">
        <f>C13</f>
        <v/>
      </c>
      <c r="F27" s="13">
        <f>B27*E27</f>
        <v/>
      </c>
    </row>
    <row r="28">
      <c r="A28" s="8" t="inlineStr">
        <is>
          <t>Inventory Handling</t>
        </is>
      </c>
      <c r="B28" s="14">
        <f>D21</f>
        <v/>
      </c>
      <c r="C28" s="8">
        <f>B14</f>
        <v/>
      </c>
      <c r="D28" s="13">
        <f>B28*C28</f>
        <v/>
      </c>
      <c r="E28" s="8">
        <f>C14</f>
        <v/>
      </c>
      <c r="F28" s="13">
        <f>B28*E28</f>
        <v/>
      </c>
    </row>
    <row r="29">
      <c r="A29" s="8" t="inlineStr">
        <is>
          <t>Quality Supervision</t>
        </is>
      </c>
      <c r="B29" s="14">
        <f>D22</f>
        <v/>
      </c>
      <c r="C29" s="8">
        <f>B15</f>
        <v/>
      </c>
      <c r="D29" s="13">
        <f>B29*C29</f>
        <v/>
      </c>
      <c r="E29" s="8">
        <f>C15</f>
        <v/>
      </c>
      <c r="F29" s="13">
        <f>B29*E29</f>
        <v/>
      </c>
    </row>
    <row r="30">
      <c r="A30" s="8" t="inlineStr">
        <is>
          <t>Machine Maintenance</t>
        </is>
      </c>
      <c r="B30" s="14">
        <f>D23</f>
        <v/>
      </c>
      <c r="C30" s="8">
        <f>B16</f>
        <v/>
      </c>
      <c r="D30" s="13">
        <f>B30*C30</f>
        <v/>
      </c>
      <c r="E30" s="8">
        <f>C16</f>
        <v/>
      </c>
      <c r="F30" s="13">
        <f>B30*E30</f>
        <v/>
      </c>
    </row>
    <row r="31">
      <c r="A31" s="16" t="inlineStr">
        <is>
          <t>Total Overhead</t>
        </is>
      </c>
      <c r="B31" s="17" t="n"/>
      <c r="C31" s="17" t="n"/>
      <c r="D31" s="18">
        <f>SUM(D27:D30)</f>
        <v/>
      </c>
      <c r="E31" s="17" t="n"/>
      <c r="F31" s="18">
        <f>SUM(F27:F30)</f>
        <v/>
      </c>
    </row>
    <row r="33">
      <c r="A33" s="2" t="inlineStr">
        <is>
          <t>ANSWER SUMMARY</t>
        </is>
      </c>
    </row>
    <row r="34">
      <c r="A34" s="19" t="inlineStr">
        <is>
          <t>Product</t>
        </is>
      </c>
      <c r="B34" s="19" t="inlineStr">
        <is>
          <t>Overhead Cost Allocated</t>
        </is>
      </c>
    </row>
    <row r="35">
      <c r="A35" s="8" t="inlineStr">
        <is>
          <t>Product X</t>
        </is>
      </c>
      <c r="B35" s="20">
        <f>D31</f>
        <v/>
      </c>
    </row>
    <row r="36">
      <c r="A36" s="8" t="inlineStr">
        <is>
          <t>Product Y</t>
        </is>
      </c>
      <c r="B36" s="20">
        <f>F31</f>
        <v/>
      </c>
    </row>
    <row r="37">
      <c r="A37" s="16" t="inlineStr">
        <is>
          <t>Grand Total</t>
        </is>
      </c>
      <c r="B37" s="21">
        <f>B35+B36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2026-09-26T11:14:19Z</dcterms:created>
  <dcterms:modified xmlns:dcterms="http://purl.org/dc/terms/" xmlns:xsi="http://www.w3.org/2001/XMLSchema-instance" xsi:type="dcterms:W3CDTF">2026-09-26T11:14:19Z</dcterms:modified>
</cp:coreProperties>
</file>