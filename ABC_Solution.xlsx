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 Allocation 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4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4" fontId="4" fillId="3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Activity Based Costing - Overhead Allocation</t>
        </is>
      </c>
    </row>
    <row r="3">
      <c r="A3" s="2" t="inlineStr">
        <is>
          <t>Statement</t>
        </is>
      </c>
      <c r="B3" s="2" t="inlineStr">
        <is>
          <t>OH Cost</t>
        </is>
      </c>
      <c r="C3" s="2" t="inlineStr">
        <is>
          <t>Cost Driver</t>
        </is>
      </c>
      <c r="D3" s="2" t="inlineStr">
        <is>
          <t>Activity Ratio</t>
        </is>
      </c>
      <c r="E3" s="2" t="inlineStr">
        <is>
          <t>Activity Rate</t>
        </is>
      </c>
      <c r="F3" s="2" t="inlineStr">
        <is>
          <t>Standard</t>
        </is>
      </c>
      <c r="G3" s="2" t="inlineStr">
        <is>
          <t>Speciality</t>
        </is>
      </c>
    </row>
    <row r="4">
      <c r="A4" s="3" t="inlineStr">
        <is>
          <t>Purchasing</t>
        </is>
      </c>
      <c r="B4" s="4" t="n">
        <v>120000</v>
      </c>
      <c r="C4" s="3" t="inlineStr">
        <is>
          <t>No. of Purchase Orders</t>
        </is>
      </c>
      <c r="D4" s="5" t="inlineStr">
        <is>
          <t>82 : 118</t>
        </is>
      </c>
      <c r="E4" s="4">
        <f>B4/200</f>
        <v/>
      </c>
      <c r="F4" s="4">
        <f>E4*82</f>
        <v/>
      </c>
      <c r="G4" s="4">
        <f>E4*118</f>
        <v/>
      </c>
    </row>
    <row r="5">
      <c r="A5" s="3" t="inlineStr">
        <is>
          <t>Production Setup</t>
        </is>
      </c>
      <c r="B5" s="4" t="n">
        <v>202500</v>
      </c>
      <c r="C5" s="3" t="inlineStr">
        <is>
          <t>No. of Setups</t>
        </is>
      </c>
      <c r="D5" s="5" t="inlineStr">
        <is>
          <t>50 : 200</t>
        </is>
      </c>
      <c r="E5" s="4">
        <f>B5/250</f>
        <v/>
      </c>
      <c r="F5" s="4">
        <f>E5*50</f>
        <v/>
      </c>
      <c r="G5" s="4">
        <f>E5*200</f>
        <v/>
      </c>
    </row>
    <row r="6">
      <c r="A6" s="3" t="inlineStr">
        <is>
          <t>Inspection</t>
        </is>
      </c>
      <c r="B6" s="4" t="n">
        <v>160000</v>
      </c>
      <c r="C6" s="3" t="inlineStr">
        <is>
          <t>Inspection Hours</t>
        </is>
      </c>
      <c r="D6" s="5" t="inlineStr">
        <is>
          <t>300 : 500</t>
        </is>
      </c>
      <c r="E6" s="4">
        <f>B6/800</f>
        <v/>
      </c>
      <c r="F6" s="4">
        <f>E6*300</f>
        <v/>
      </c>
      <c r="G6" s="4">
        <f>E6*500</f>
        <v/>
      </c>
    </row>
    <row r="7">
      <c r="A7" s="3" t="inlineStr">
        <is>
          <t>Assembling</t>
        </is>
      </c>
      <c r="B7" s="4" t="n">
        <v>80000</v>
      </c>
      <c r="C7" s="3" t="inlineStr">
        <is>
          <t>Assembly Hours</t>
        </is>
      </c>
      <c r="D7" s="5" t="inlineStr">
        <is>
          <t>800 : 800</t>
        </is>
      </c>
      <c r="E7" s="4">
        <f>B7/1600</f>
        <v/>
      </c>
      <c r="F7" s="4">
        <f>E7*800</f>
        <v/>
      </c>
      <c r="G7" s="4">
        <f>E7*800</f>
        <v/>
      </c>
    </row>
    <row r="8">
      <c r="A8" s="3" t="inlineStr">
        <is>
          <t>Machine Maintenance</t>
        </is>
      </c>
      <c r="B8" s="4" t="n">
        <v>300000</v>
      </c>
      <c r="C8" s="3" t="inlineStr">
        <is>
          <t>Machine Hours</t>
        </is>
      </c>
      <c r="D8" s="5" t="inlineStr">
        <is>
          <t>5000 : 5000</t>
        </is>
      </c>
      <c r="E8" s="4">
        <f>B8/10000</f>
        <v/>
      </c>
      <c r="F8" s="4">
        <f>E8*5000</f>
        <v/>
      </c>
      <c r="G8" s="4">
        <f>E8*5000</f>
        <v/>
      </c>
    </row>
    <row r="9">
      <c r="A9" s="6" t="inlineStr">
        <is>
          <t>Total Overhead Allocated</t>
        </is>
      </c>
      <c r="B9" s="7" t="n"/>
      <c r="C9" s="7" t="n"/>
      <c r="D9" s="7" t="n"/>
      <c r="E9" s="7" t="n"/>
      <c r="F9" s="8">
        <f>SUM(F4:F8)</f>
        <v/>
      </c>
      <c r="G9" s="8">
        <f>SUM(G4:G8)</f>
        <v/>
      </c>
    </row>
    <row r="10">
      <c r="A10" s="9" t="inlineStr">
        <is>
          <t>Grand Total (Standard + Speciality)</t>
        </is>
      </c>
      <c r="F10" s="10">
        <f>F9+G9</f>
        <v/>
      </c>
      <c r="G10" s="7" t="n"/>
    </row>
    <row r="11">
      <c r="A11" s="11" t="inlineStr">
        <is>
          <t>Verification (Total OH Cost)</t>
        </is>
      </c>
      <c r="B11" s="12">
        <f>SUM(B4:B8)</f>
        <v/>
      </c>
    </row>
    <row r="13">
      <c r="A13" s="13" t="inlineStr">
        <is>
          <t>Calculation Method:</t>
        </is>
      </c>
    </row>
    <row r="14">
      <c r="A14" t="inlineStr">
        <is>
          <t>1. Activity Rate = Overhead Cost ÷ Total Activity</t>
        </is>
      </c>
    </row>
    <row r="15">
      <c r="A15" t="inlineStr">
        <is>
          <t>2. Standard Allocation = Activity Rate × Standard Activity Quantity</t>
        </is>
      </c>
    </row>
    <row r="16">
      <c r="A16" t="inlineStr">
        <is>
          <t>3. Speciality Allocation = Activity Rate × Speciality Activity Quantity</t>
        </is>
      </c>
    </row>
  </sheetData>
  <mergeCells count="2">
    <mergeCell ref="F10:G1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2026-09-26T09:23:42Z</dcterms:created>
  <dcterms:modified xmlns:dcterms="http://purl.org/dc/terms/" xmlns:xsi="http://www.w3.org/2001/XMLSchema-instance" xsi:type="dcterms:W3CDTF">2026-09-26T09:23:42Z</dcterms:modified>
</cp:coreProperties>
</file>